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b\Documents\Computer\Gigs\Freelancer\Portfolio examples\"/>
    </mc:Choice>
  </mc:AlternateContent>
  <bookViews>
    <workbookView xWindow="-120" yWindow="-120" windowWidth="20730" windowHeight="11160" tabRatio="921"/>
  </bookViews>
  <sheets>
    <sheet name="Teams" sheetId="4" r:id="rId1"/>
    <sheet name="36team" sheetId="317" r:id="rId2"/>
    <sheet name="MatchSchedule" sheetId="11" r:id="rId3"/>
    <sheet name="RedTableSchedule" sheetId="25" r:id="rId4"/>
    <sheet name="BlueTableSchedule" sheetId="28" r:id="rId5"/>
    <sheet name="YellowTableSchedule" sheetId="29" r:id="rId6"/>
    <sheet name="RDJudgingA" sheetId="12" r:id="rId7"/>
    <sheet name="RDJudgingB" sheetId="13" r:id="rId8"/>
    <sheet name="RDJudgingC" sheetId="14" r:id="rId9"/>
    <sheet name="PRJudgingA" sheetId="18" r:id="rId10"/>
    <sheet name="PRJudgingB" sheetId="19" r:id="rId11"/>
    <sheet name="PRJudgingC" sheetId="20" r:id="rId12"/>
    <sheet name="CVJudgingA" sheetId="15" r:id="rId13"/>
    <sheet name="CVJudgingB" sheetId="16" r:id="rId14"/>
    <sheet name="CVJudgingC" sheetId="17" r:id="rId15"/>
    <sheet name="TeamSchedule" sheetId="30" r:id="rId16"/>
    <sheet name="36" sheetId="862" r:id="rId17"/>
    <sheet name="35" sheetId="861" r:id="rId18"/>
    <sheet name="34" sheetId="860" r:id="rId19"/>
    <sheet name="33" sheetId="859" r:id="rId20"/>
    <sheet name="32" sheetId="858" r:id="rId21"/>
    <sheet name="31" sheetId="857" r:id="rId22"/>
    <sheet name="30" sheetId="856" r:id="rId23"/>
    <sheet name="29" sheetId="855" r:id="rId24"/>
    <sheet name="28" sheetId="854" r:id="rId25"/>
    <sheet name="27" sheetId="853" r:id="rId26"/>
    <sheet name="26" sheetId="852" r:id="rId27"/>
    <sheet name="25" sheetId="851" r:id="rId28"/>
    <sheet name="24" sheetId="850" r:id="rId29"/>
    <sheet name="23" sheetId="849" r:id="rId30"/>
    <sheet name="22" sheetId="848" r:id="rId31"/>
    <sheet name="21" sheetId="847" r:id="rId32"/>
    <sheet name="20" sheetId="846" r:id="rId33"/>
    <sheet name="19" sheetId="845" r:id="rId34"/>
    <sheet name="18" sheetId="844" r:id="rId35"/>
    <sheet name="17" sheetId="843" r:id="rId36"/>
    <sheet name="16" sheetId="842" r:id="rId37"/>
    <sheet name="15" sheetId="841" r:id="rId38"/>
    <sheet name="14" sheetId="840" r:id="rId39"/>
    <sheet name="13" sheetId="839" r:id="rId40"/>
    <sheet name="12" sheetId="838" r:id="rId41"/>
    <sheet name="11" sheetId="837" r:id="rId42"/>
    <sheet name="10" sheetId="836" r:id="rId43"/>
    <sheet name="9" sheetId="835" r:id="rId44"/>
    <sheet name="8" sheetId="834" r:id="rId45"/>
    <sheet name="7" sheetId="833" r:id="rId46"/>
    <sheet name="6" sheetId="832" r:id="rId47"/>
    <sheet name="5" sheetId="831" r:id="rId48"/>
    <sheet name="4" sheetId="830" r:id="rId49"/>
    <sheet name="3" sheetId="829" r:id="rId50"/>
    <sheet name="2" sheetId="828" r:id="rId51"/>
    <sheet name="1" sheetId="827" r:id="rId52"/>
  </sheets>
  <functionGroups builtInGroupCount="18"/>
  <definedNames>
    <definedName name="a" localSheetId="1" hidden="1">{"'Performance'!$A$1:$H$20"}</definedName>
    <definedName name="a" hidden="1">{"'Performance'!$A$1:$H$20"}</definedName>
    <definedName name="Bloop" hidden="1">{"'Performance'!$A$1:$H$20"}</definedName>
    <definedName name="HTML_CodePage" hidden="1">1252</definedName>
    <definedName name="HTML_Control" localSheetId="1" hidden="1">{"'Performance'!$A$1:$H$20"}</definedName>
    <definedName name="HTML_Control" hidden="1">{"'Performance'!$A$1:$H$20"}</definedName>
    <definedName name="HTML_Description" hidden="1">""</definedName>
    <definedName name="HTML_Email" hidden="1">""</definedName>
    <definedName name="HTML_Header" hidden="1">"Performance"</definedName>
    <definedName name="HTML_LastUpdate" hidden="1">"11/29/01"</definedName>
    <definedName name="HTML_LineAfter" hidden="1">FALSE</definedName>
    <definedName name="HTML_LineBefore" hidden="1">FALSE</definedName>
    <definedName name="HTML_Name" hidden="1">"Bob Lipscomb"</definedName>
    <definedName name="HTML_OBDlg2" hidden="1">TRUE</definedName>
    <definedName name="HTML_OBDlg4" hidden="1">TRUE</definedName>
    <definedName name="HTML_OS" hidden="1">0</definedName>
    <definedName name="HTML_PathFile" hidden="1">"C:\Bob\Work Info\Performance.htm"</definedName>
    <definedName name="HTML_Title" hidden="1">"fll_scoring"</definedName>
    <definedName name="_xlnm.Print_Area" localSheetId="4">BlueTableSchedule!$A$1:$G$2</definedName>
    <definedName name="_xlnm.Print_Area" localSheetId="12">CVJudgingA!$A$1:$C$40</definedName>
    <definedName name="_xlnm.Print_Area" localSheetId="13">CVJudgingB!$A$1:$C$40</definedName>
    <definedName name="_xlnm.Print_Area" localSheetId="14">CVJudgingC!$A$1:$C$40</definedName>
    <definedName name="_xlnm.Print_Area" localSheetId="2">MatchSchedule!$A$1:$G$74</definedName>
    <definedName name="_xlnm.Print_Area" localSheetId="9">PRJudgingA!$A$1:$C$40</definedName>
    <definedName name="_xlnm.Print_Area" localSheetId="10">PRJudgingB!$A$1:$C$40</definedName>
    <definedName name="_xlnm.Print_Area" localSheetId="11">PRJudgingC!$A$1:$C$40</definedName>
    <definedName name="_xlnm.Print_Area" localSheetId="6">RDJudgingA!$A$1:$C$40</definedName>
    <definedName name="_xlnm.Print_Area" localSheetId="7">RDJudgingB!$A$1:$C$40</definedName>
    <definedName name="_xlnm.Print_Area" localSheetId="8">RDJudgingC!$A$1:$C$40</definedName>
    <definedName name="_xlnm.Print_Area" localSheetId="3">RedTableSchedule!$A$1:$G$2</definedName>
    <definedName name="_xlnm.Print_Area" localSheetId="0">Teams!$B$1:$C$35</definedName>
    <definedName name="_xlnm.Print_Area" localSheetId="5">YellowTableSchedule!$A$1:$G$2</definedName>
    <definedName name="teMP" localSheetId="1" hidden="1">{"'Performance'!$A$1:$H$20"}</definedName>
    <definedName name="teMP" hidden="1">{"'Performance'!$A$1:$H$20"}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2" i="317" l="1"/>
  <c r="B42" i="317"/>
  <c r="C41" i="317"/>
  <c r="B41" i="317"/>
  <c r="C40" i="317"/>
  <c r="B40" i="317"/>
  <c r="C39" i="317"/>
  <c r="B39" i="317"/>
  <c r="C38" i="317"/>
  <c r="B38" i="317"/>
  <c r="C37" i="317"/>
  <c r="B37" i="317"/>
  <c r="C36" i="317"/>
  <c r="B36" i="317"/>
  <c r="C35" i="317"/>
  <c r="B35" i="317"/>
  <c r="C34" i="317"/>
  <c r="B34" i="317"/>
  <c r="C33" i="317"/>
  <c r="B33" i="317"/>
  <c r="C32" i="317"/>
  <c r="B32" i="317"/>
  <c r="B31" i="317"/>
  <c r="C31" i="317"/>
  <c r="B18" i="317" l="1"/>
  <c r="C18" i="317"/>
  <c r="B19" i="317"/>
  <c r="C19" i="317"/>
  <c r="C17" i="317"/>
  <c r="B17" i="317"/>
  <c r="B20" i="317"/>
  <c r="C20" i="317"/>
  <c r="B21" i="317"/>
  <c r="C21" i="317"/>
  <c r="B22" i="317"/>
  <c r="H22" i="317" s="1"/>
  <c r="C22" i="317"/>
  <c r="B23" i="317"/>
  <c r="C23" i="317"/>
  <c r="B24" i="317"/>
  <c r="C24" i="317"/>
  <c r="B25" i="317"/>
  <c r="C25" i="317"/>
  <c r="B26" i="317"/>
  <c r="C26" i="317"/>
  <c r="B27" i="317"/>
  <c r="C27" i="317"/>
  <c r="B28" i="317"/>
  <c r="C28" i="317"/>
  <c r="B4" i="317"/>
  <c r="C4" i="317"/>
  <c r="B5" i="317"/>
  <c r="C5" i="317"/>
  <c r="B6" i="317"/>
  <c r="C6" i="317"/>
  <c r="B7" i="317"/>
  <c r="C7" i="317"/>
  <c r="B8" i="317"/>
  <c r="C8" i="317"/>
  <c r="B9" i="317"/>
  <c r="C9" i="317"/>
  <c r="B10" i="317"/>
  <c r="C10" i="317"/>
  <c r="B11" i="317"/>
  <c r="C11" i="317"/>
  <c r="B12" i="317"/>
  <c r="C12" i="317"/>
  <c r="B13" i="317"/>
  <c r="C13" i="317"/>
  <c r="B14" i="317"/>
  <c r="C14" i="317"/>
  <c r="C3" i="317"/>
  <c r="B3" i="317"/>
  <c r="AA41" i="317"/>
  <c r="AE22" i="317" l="1"/>
  <c r="AK22" i="317"/>
  <c r="H41" i="317"/>
  <c r="N41" i="317"/>
  <c r="AO41" i="317"/>
  <c r="AI41" i="317" l="1"/>
  <c r="BB41" i="317"/>
  <c r="BO41" i="317"/>
  <c r="BI19" i="317" l="1"/>
  <c r="BI21" i="317"/>
  <c r="BI23" i="317"/>
  <c r="BI25" i="317"/>
  <c r="BI27" i="317"/>
  <c r="V28" i="317"/>
  <c r="BI17" i="317"/>
  <c r="BO32" i="317"/>
  <c r="BM33" i="317"/>
  <c r="BM35" i="317"/>
  <c r="BO36" i="317"/>
  <c r="BB38" i="317"/>
  <c r="E15" i="317"/>
  <c r="F15" i="317"/>
  <c r="G15" i="317"/>
  <c r="H15" i="317"/>
  <c r="I15" i="317"/>
  <c r="J15" i="317"/>
  <c r="K15" i="317"/>
  <c r="L15" i="317"/>
  <c r="M15" i="317"/>
  <c r="N15" i="317"/>
  <c r="O15" i="317"/>
  <c r="P15" i="317"/>
  <c r="BB42" i="317" l="1"/>
  <c r="BM42" i="317"/>
  <c r="BO40" i="317"/>
  <c r="BB40" i="317"/>
  <c r="BM39" i="317"/>
  <c r="BB39" i="317"/>
  <c r="BM37" i="317"/>
  <c r="BB37" i="317"/>
  <c r="AV17" i="317"/>
  <c r="AZ35" i="317"/>
  <c r="V27" i="317"/>
  <c r="I13" i="317"/>
  <c r="O13" i="317"/>
  <c r="AB25" i="317"/>
  <c r="AV21" i="317"/>
  <c r="AZ36" i="317"/>
  <c r="BG14" i="317"/>
  <c r="O14" i="317"/>
  <c r="I14" i="317"/>
  <c r="O12" i="317"/>
  <c r="I12" i="317"/>
  <c r="U12" i="317"/>
  <c r="AT12" i="317"/>
  <c r="AZ32" i="317"/>
  <c r="AA12" i="317"/>
  <c r="AB27" i="317"/>
  <c r="AX25" i="317"/>
  <c r="AK31" i="317"/>
  <c r="K31" i="317"/>
  <c r="AE31" i="317"/>
  <c r="R31" i="317"/>
  <c r="E31" i="317"/>
  <c r="AI39" i="317"/>
  <c r="H39" i="317"/>
  <c r="AO39" i="317"/>
  <c r="N39" i="317"/>
  <c r="X39" i="317"/>
  <c r="U35" i="317"/>
  <c r="E35" i="317"/>
  <c r="AM35" i="317"/>
  <c r="K35" i="317"/>
  <c r="AG35" i="317"/>
  <c r="AN26" i="317"/>
  <c r="AH26" i="317"/>
  <c r="N26" i="317"/>
  <c r="H20" i="317"/>
  <c r="AK20" i="317"/>
  <c r="AE20" i="317"/>
  <c r="AV22" i="317"/>
  <c r="BK22" i="317"/>
  <c r="AK17" i="317"/>
  <c r="E17" i="317"/>
  <c r="AE17" i="317"/>
  <c r="AA13" i="317"/>
  <c r="AN13" i="317"/>
  <c r="Z23" i="317"/>
  <c r="AB26" i="317"/>
  <c r="AT13" i="317"/>
  <c r="AV19" i="317"/>
  <c r="AX23" i="317"/>
  <c r="AX27" i="317"/>
  <c r="AZ33" i="317"/>
  <c r="BE13" i="317"/>
  <c r="AZ31" i="317"/>
  <c r="BM31" i="317"/>
  <c r="X37" i="317"/>
  <c r="AM37" i="317"/>
  <c r="N37" i="317"/>
  <c r="AG37" i="317"/>
  <c r="H37" i="317"/>
  <c r="AE33" i="317"/>
  <c r="R33" i="317"/>
  <c r="AK33" i="317"/>
  <c r="K33" i="317"/>
  <c r="E33" i="317"/>
  <c r="N28" i="317"/>
  <c r="AN28" i="317"/>
  <c r="AH28" i="317"/>
  <c r="K24" i="317"/>
  <c r="AN24" i="317"/>
  <c r="AH24" i="317"/>
  <c r="AK18" i="317"/>
  <c r="AE18" i="317"/>
  <c r="E18" i="317"/>
  <c r="AV18" i="317"/>
  <c r="AX26" i="317"/>
  <c r="BK18" i="317"/>
  <c r="BK26" i="317"/>
  <c r="AO42" i="317"/>
  <c r="AA42" i="317"/>
  <c r="N42" i="317"/>
  <c r="AI42" i="317"/>
  <c r="H42" i="317"/>
  <c r="AO40" i="317"/>
  <c r="N40" i="317"/>
  <c r="AI40" i="317"/>
  <c r="H40" i="317"/>
  <c r="AA40" i="317"/>
  <c r="AM38" i="317"/>
  <c r="X38" i="317"/>
  <c r="N38" i="317"/>
  <c r="AG38" i="317"/>
  <c r="H38" i="317"/>
  <c r="AM36" i="317"/>
  <c r="K36" i="317"/>
  <c r="AG36" i="317"/>
  <c r="E36" i="317"/>
  <c r="U36" i="317"/>
  <c r="AK34" i="317"/>
  <c r="U34" i="317"/>
  <c r="K34" i="317"/>
  <c r="AE34" i="317"/>
  <c r="E34" i="317"/>
  <c r="AK32" i="317"/>
  <c r="K32" i="317"/>
  <c r="AE32" i="317"/>
  <c r="E32" i="317"/>
  <c r="R32" i="317"/>
  <c r="AH27" i="317"/>
  <c r="N27" i="317"/>
  <c r="AN27" i="317"/>
  <c r="K25" i="317"/>
  <c r="AN25" i="317"/>
  <c r="AH25" i="317"/>
  <c r="AH23" i="317"/>
  <c r="K23" i="317"/>
  <c r="AN23" i="317"/>
  <c r="AK21" i="317"/>
  <c r="H21" i="317"/>
  <c r="AE21" i="317"/>
  <c r="AK19" i="317"/>
  <c r="E19" i="317"/>
  <c r="AE19" i="317"/>
  <c r="U13" i="317"/>
  <c r="AN12" i="317"/>
  <c r="Z24" i="317"/>
  <c r="AB28" i="317"/>
  <c r="AT14" i="317"/>
  <c r="AV20" i="317"/>
  <c r="AX24" i="317"/>
  <c r="AX28" i="317"/>
  <c r="AZ34" i="317"/>
  <c r="BG12" i="317"/>
  <c r="BK20" i="317"/>
  <c r="BK24" i="317"/>
  <c r="BK28" i="317"/>
  <c r="BO34" i="317"/>
  <c r="BO38" i="317"/>
  <c r="I11" i="317" l="1"/>
  <c r="O11" i="317"/>
  <c r="G9" i="317"/>
  <c r="M9" i="317"/>
  <c r="G7" i="317"/>
  <c r="M7" i="317"/>
  <c r="E5" i="317"/>
  <c r="K5" i="317"/>
  <c r="E3" i="317"/>
  <c r="K3" i="317"/>
  <c r="M10" i="317"/>
  <c r="G10" i="317"/>
  <c r="M8" i="317"/>
  <c r="G8" i="317"/>
  <c r="K6" i="317"/>
  <c r="E6" i="317"/>
  <c r="K4" i="317"/>
  <c r="E4" i="317"/>
  <c r="AR3" i="317"/>
  <c r="BE3" i="317"/>
  <c r="AR8" i="317"/>
  <c r="BG8" i="317"/>
  <c r="BG4" i="317"/>
  <c r="AR4" i="317"/>
  <c r="BG10" i="317"/>
  <c r="AT10" i="317"/>
  <c r="BG6" i="317"/>
  <c r="AR6" i="317"/>
  <c r="AT11" i="317"/>
  <c r="BE11" i="317"/>
  <c r="BE9" i="317"/>
  <c r="AT9" i="317"/>
  <c r="AR7" i="317"/>
  <c r="BE7" i="317"/>
  <c r="BE5" i="317"/>
  <c r="AR5" i="317"/>
  <c r="AA14" i="317" l="1"/>
  <c r="AN14" i="317"/>
  <c r="U14" i="317"/>
  <c r="BQ29" i="317"/>
  <c r="BP29" i="317"/>
  <c r="BO29" i="317"/>
  <c r="BN29" i="317"/>
  <c r="BM29" i="317"/>
  <c r="BL29" i="317"/>
  <c r="BK29" i="317"/>
  <c r="BJ29" i="317"/>
  <c r="BI29" i="317"/>
  <c r="BH29" i="317"/>
  <c r="BG29" i="317"/>
  <c r="BF29" i="317"/>
  <c r="BE29" i="317"/>
  <c r="BD29" i="317"/>
  <c r="BC29" i="317"/>
  <c r="BB29" i="317"/>
  <c r="BA29" i="317"/>
  <c r="AZ29" i="317"/>
  <c r="AY29" i="317"/>
  <c r="AX29" i="317"/>
  <c r="AW29" i="317"/>
  <c r="AV29" i="317"/>
  <c r="AU29" i="317"/>
  <c r="AT29" i="317"/>
  <c r="AS29" i="317"/>
  <c r="AR29" i="317"/>
  <c r="AQ29" i="317"/>
  <c r="AP29" i="317"/>
  <c r="AO29" i="317"/>
  <c r="AN29" i="317"/>
  <c r="AM29" i="317"/>
  <c r="AL29" i="317"/>
  <c r="AK29" i="317"/>
  <c r="AJ29" i="317"/>
  <c r="AI29" i="317"/>
  <c r="AH29" i="317"/>
  <c r="AG29" i="317"/>
  <c r="AF29" i="317"/>
  <c r="AE29" i="317"/>
  <c r="AD29" i="317"/>
  <c r="AC29" i="317"/>
  <c r="AB29" i="317"/>
  <c r="AA29" i="317"/>
  <c r="Z29" i="317"/>
  <c r="Y29" i="317"/>
  <c r="X29" i="317"/>
  <c r="W29" i="317"/>
  <c r="V29" i="317"/>
  <c r="U29" i="317"/>
  <c r="T29" i="317"/>
  <c r="S29" i="317"/>
  <c r="R29" i="317"/>
  <c r="Q29" i="317"/>
  <c r="P29" i="317"/>
  <c r="O29" i="317"/>
  <c r="N29" i="317"/>
  <c r="M29" i="317"/>
  <c r="L29" i="317"/>
  <c r="K29" i="317"/>
  <c r="J29" i="317"/>
  <c r="I29" i="317"/>
  <c r="H29" i="317"/>
  <c r="G29" i="317"/>
  <c r="F29" i="317"/>
  <c r="E29" i="317"/>
  <c r="D29" i="317"/>
  <c r="BQ15" i="317"/>
  <c r="BP15" i="317"/>
  <c r="BO15" i="317"/>
  <c r="BN15" i="317"/>
  <c r="BM15" i="317"/>
  <c r="BL15" i="317"/>
  <c r="BK15" i="317"/>
  <c r="BJ15" i="317"/>
  <c r="BI15" i="317"/>
  <c r="BH15" i="317"/>
  <c r="BG15" i="317"/>
  <c r="BF15" i="317"/>
  <c r="BE15" i="317"/>
  <c r="BD15" i="317"/>
  <c r="BC15" i="317"/>
  <c r="BB15" i="317"/>
  <c r="BA15" i="317"/>
  <c r="AZ15" i="317"/>
  <c r="AY15" i="317"/>
  <c r="AX15" i="317"/>
  <c r="AW15" i="317"/>
  <c r="AV15" i="317"/>
  <c r="AU15" i="317"/>
  <c r="AT15" i="317"/>
  <c r="AS15" i="317"/>
  <c r="AR15" i="317"/>
  <c r="AQ15" i="317"/>
  <c r="AP15" i="317"/>
  <c r="AO15" i="317"/>
  <c r="AN15" i="317"/>
  <c r="AM15" i="317"/>
  <c r="AL15" i="317"/>
  <c r="AK15" i="317"/>
  <c r="AJ15" i="317"/>
  <c r="AI15" i="317"/>
  <c r="AH15" i="317"/>
  <c r="AG15" i="317"/>
  <c r="AF15" i="317"/>
  <c r="AE15" i="317"/>
  <c r="AD15" i="317"/>
  <c r="AC15" i="317"/>
  <c r="AB15" i="317"/>
  <c r="AA15" i="317"/>
  <c r="Z15" i="317"/>
  <c r="Y15" i="317"/>
  <c r="X15" i="317"/>
  <c r="W15" i="317"/>
  <c r="V15" i="317"/>
  <c r="U15" i="317"/>
  <c r="T15" i="317"/>
  <c r="S15" i="317"/>
  <c r="R15" i="317"/>
  <c r="Q15" i="317"/>
  <c r="D15" i="317"/>
  <c r="T23" i="317"/>
  <c r="Z21" i="317"/>
  <c r="X20" i="317"/>
  <c r="X19" i="317"/>
  <c r="X18" i="317"/>
  <c r="U11" i="317"/>
  <c r="X8" i="317"/>
  <c r="R6" i="317"/>
  <c r="X4" i="317"/>
  <c r="R7" i="317" l="1"/>
  <c r="T21" i="317"/>
  <c r="R19" i="317"/>
  <c r="R17" i="317"/>
  <c r="V25" i="317"/>
  <c r="X17" i="317"/>
  <c r="R18" i="317"/>
  <c r="R20" i="317"/>
  <c r="T22" i="317"/>
  <c r="T24" i="317"/>
  <c r="V26" i="317"/>
  <c r="Z22" i="317"/>
  <c r="AK9" i="317"/>
  <c r="AE4" i="317"/>
  <c r="X5" i="317"/>
  <c r="U10" i="317"/>
  <c r="AE5" i="317"/>
  <c r="AK10" i="317"/>
  <c r="AA9" i="317"/>
  <c r="AE3" i="317"/>
  <c r="X3" i="317"/>
  <c r="R8" i="317"/>
  <c r="AH7" i="317"/>
  <c r="X7" i="317"/>
  <c r="AH8" i="317"/>
  <c r="X6" i="317"/>
  <c r="AK11" i="317"/>
  <c r="AA11" i="317"/>
  <c r="R3" i="317"/>
  <c r="R4" i="317"/>
  <c r="AH6" i="317"/>
  <c r="AA10" i="317"/>
  <c r="R5" i="317"/>
  <c r="U9" i="317"/>
</calcChain>
</file>

<file path=xl/sharedStrings.xml><?xml version="1.0" encoding="utf-8"?>
<sst xmlns="http://schemas.openxmlformats.org/spreadsheetml/2006/main" count="2033" uniqueCount="217">
  <si>
    <t>Team#</t>
  </si>
  <si>
    <t>Team Name</t>
  </si>
  <si>
    <t>Opening Ceremony</t>
  </si>
  <si>
    <t>Break</t>
  </si>
  <si>
    <t>Awards Ceremony</t>
  </si>
  <si>
    <t>Session 1</t>
  </si>
  <si>
    <t>Session 2</t>
  </si>
  <si>
    <t>Session 3</t>
  </si>
  <si>
    <t>Session 4</t>
  </si>
  <si>
    <t>Table</t>
  </si>
  <si>
    <t>Match #</t>
  </si>
  <si>
    <t>LEGEND:</t>
  </si>
  <si>
    <t>Team #</t>
  </si>
  <si>
    <t>FLL Core Values Judging</t>
  </si>
  <si>
    <t>BREAK</t>
  </si>
  <si>
    <t>Table A</t>
  </si>
  <si>
    <t>Color</t>
  </si>
  <si>
    <t>Table B</t>
  </si>
  <si>
    <t>Time</t>
  </si>
  <si>
    <t>Red</t>
  </si>
  <si>
    <t>Yellow</t>
  </si>
  <si>
    <t>Blue</t>
  </si>
  <si>
    <t>Robot Design Judging</t>
  </si>
  <si>
    <t>Project Judging</t>
  </si>
  <si>
    <t>Event</t>
  </si>
  <si>
    <t>Coaches Meeting - Main Competition Floor</t>
  </si>
  <si>
    <t>NOTE: All times are our best estimates. Try to be early for each event, but times may slip due to unforeseen circumstances.</t>
  </si>
  <si>
    <t>Lunch (40 minutes)</t>
  </si>
  <si>
    <t>Room #80</t>
  </si>
  <si>
    <t>Room #82</t>
  </si>
  <si>
    <t>Room #84</t>
  </si>
  <si>
    <t>Room #75</t>
  </si>
  <si>
    <t>Room #73</t>
  </si>
  <si>
    <t>Room #71</t>
  </si>
  <si>
    <t>Room #81</t>
  </si>
  <si>
    <t>Room #83</t>
  </si>
  <si>
    <t>Room #85</t>
  </si>
  <si>
    <t>Robot Design Judging Room A</t>
  </si>
  <si>
    <t>Robot Design Judging Room B</t>
  </si>
  <si>
    <t>Robot Design Judging Room C</t>
  </si>
  <si>
    <t>Core Values Judging Room A</t>
  </si>
  <si>
    <t>Core Values Judging Room B</t>
  </si>
  <si>
    <t>Core Values Judging Room C</t>
  </si>
  <si>
    <t>Project Judging Room A</t>
  </si>
  <si>
    <t>Project Judging Room B</t>
  </si>
  <si>
    <t>Project Judging Room C</t>
  </si>
  <si>
    <t>Robot Competition</t>
  </si>
  <si>
    <t xml:space="preserve">INSTRUCTIONS: </t>
  </si>
  <si>
    <t xml:space="preserve">      (Color indicates table color for match)</t>
  </si>
  <si>
    <t>3. The legend at the left describes what that activity is.</t>
  </si>
  <si>
    <t>1. Find your team number and name on the left side of the chart.</t>
  </si>
  <si>
    <t>4. Look at the time row above that block to see what time that event is.</t>
  </si>
  <si>
    <t xml:space="preserve">2. Follow that row across the chart until you see a colored block. </t>
  </si>
  <si>
    <t>Opening Ceremonies - Main Competition Floor</t>
  </si>
  <si>
    <t>10:00 AM - 10:10 AM</t>
  </si>
  <si>
    <t>Break - No Activities</t>
  </si>
  <si>
    <t>Robot Design Judging Session, Room #80</t>
  </si>
  <si>
    <t>FLL Core Values Judging Session, Room #75</t>
  </si>
  <si>
    <t>11:10 AM - 11:20 AM</t>
  </si>
  <si>
    <t>Project Judging Session, Room #81</t>
  </si>
  <si>
    <t>12:20 PM - 1:00 PM</t>
  </si>
  <si>
    <t>Lunch Break - No Activities</t>
  </si>
  <si>
    <t>2:00 PM - 2:10 PM</t>
  </si>
  <si>
    <t>3:30 PM - END</t>
  </si>
  <si>
    <t>FLL Awards Ceremony</t>
  </si>
  <si>
    <t>8:30 AM</t>
  </si>
  <si>
    <t>9:00 AM</t>
  </si>
  <si>
    <t>9:05 AM</t>
  </si>
  <si>
    <t>9:10 AM</t>
  </si>
  <si>
    <t>9:15 AM</t>
  </si>
  <si>
    <t>9:20 AM</t>
  </si>
  <si>
    <t>9:35 AM</t>
  </si>
  <si>
    <t>9:25 AM</t>
  </si>
  <si>
    <t>9:30 AM</t>
  </si>
  <si>
    <t>9:40 AM</t>
  </si>
  <si>
    <t>9:45 AM</t>
  </si>
  <si>
    <t>9:50 AM</t>
  </si>
  <si>
    <t>9:55 AM</t>
  </si>
  <si>
    <t>10:10 AM</t>
  </si>
  <si>
    <t>10:15 AM</t>
  </si>
  <si>
    <t>10:20 AM</t>
  </si>
  <si>
    <t>10:25 AM</t>
  </si>
  <si>
    <t>10:30 AM</t>
  </si>
  <si>
    <t>10:35 AM</t>
  </si>
  <si>
    <t>10:40 AM</t>
  </si>
  <si>
    <t>10:45 AM</t>
  </si>
  <si>
    <t>10:50 AM</t>
  </si>
  <si>
    <t>10:55 AM</t>
  </si>
  <si>
    <t>11:05 AM</t>
  </si>
  <si>
    <t>11:10 AM</t>
  </si>
  <si>
    <t>11:20 AM</t>
  </si>
  <si>
    <t>11:25 AM</t>
  </si>
  <si>
    <t>11:30 AM</t>
  </si>
  <si>
    <t>11:35 AM</t>
  </si>
  <si>
    <t>11:40 AM</t>
  </si>
  <si>
    <t>11:45 AM</t>
  </si>
  <si>
    <t>11:50 AM</t>
  </si>
  <si>
    <t>11:55 AM</t>
  </si>
  <si>
    <t>12:05 PM</t>
  </si>
  <si>
    <t>12:10 PM</t>
  </si>
  <si>
    <t>12:15 PM</t>
  </si>
  <si>
    <t>12:20 PM</t>
  </si>
  <si>
    <t>1:05 PM</t>
  </si>
  <si>
    <t>1:10 PM</t>
  </si>
  <si>
    <t>1:15 PM</t>
  </si>
  <si>
    <t>1:20 PM</t>
  </si>
  <si>
    <t>1:25 PM</t>
  </si>
  <si>
    <t>1:30 PM</t>
  </si>
  <si>
    <t>1:35 PM</t>
  </si>
  <si>
    <t>1:40 PM</t>
  </si>
  <si>
    <t>1:45 PM</t>
  </si>
  <si>
    <t>1:50 PM</t>
  </si>
  <si>
    <t>1:55 PM</t>
  </si>
  <si>
    <t>2:10 PM</t>
  </si>
  <si>
    <t>2:15 PM</t>
  </si>
  <si>
    <t>2:20 PM</t>
  </si>
  <si>
    <t>2:25 PM</t>
  </si>
  <si>
    <t>2:30 PM</t>
  </si>
  <si>
    <t>2:35 PM</t>
  </si>
  <si>
    <t>2:40 PM</t>
  </si>
  <si>
    <t>2:45 PM</t>
  </si>
  <si>
    <t>2:50 PM</t>
  </si>
  <si>
    <t>2:55 PM</t>
  </si>
  <si>
    <t>3:05 PM</t>
  </si>
  <si>
    <t>3:30 PM</t>
  </si>
  <si>
    <t>9:00 AM - 9:10 AM</t>
  </si>
  <si>
    <t>9:30 AM - 9:40 AM</t>
  </si>
  <si>
    <t>10:10 AM - 10:25 AM</t>
  </si>
  <si>
    <t>10:40 AM - 10:55 AM</t>
  </si>
  <si>
    <t>11:20 AM - 11:35 AM</t>
  </si>
  <si>
    <t>2:10 PM - 2:20 PM</t>
  </si>
  <si>
    <t>Robot Design Judging Session, Room #82</t>
  </si>
  <si>
    <t>FLL Core Values Judging Session, Room #73</t>
  </si>
  <si>
    <t>Project Judging Session, Room #83</t>
  </si>
  <si>
    <t>2:20 PM - 2:30 PM</t>
  </si>
  <si>
    <t>Robot Design Judging Session, Room #84</t>
  </si>
  <si>
    <t>FLL Core Values Judging Session, Room #71</t>
  </si>
  <si>
    <t>Project Judging Session, Room #85</t>
  </si>
  <si>
    <t>11:35 AM - 11:50 AM</t>
  </si>
  <si>
    <t>9:10 AM - 9:20 AM</t>
  </si>
  <si>
    <t>9:40 AM - 9:50 AM</t>
  </si>
  <si>
    <t>10:25 AM - 10:40 AM</t>
  </si>
  <si>
    <t>10:55 AM - 11:10 AM</t>
  </si>
  <si>
    <t>11:50 AM - 12:05 PM</t>
  </si>
  <si>
    <t>1:10 PM - 1:20 PM</t>
  </si>
  <si>
    <t>9:20 AM - 9:30 AM</t>
  </si>
  <si>
    <t>12:05 PM - 12:20 PM</t>
  </si>
  <si>
    <t>9:00 AM - 9:15 AM</t>
  </si>
  <si>
    <t>10:10 AM - 10:20 AM</t>
  </si>
  <si>
    <t>10:40 AM - 10:50 AM</t>
  </si>
  <si>
    <t>1:20 PM - 1:30 PM</t>
  </si>
  <si>
    <t>2:30 PM - 2:40 PM</t>
  </si>
  <si>
    <t>2:40 PM - 2:50 PM</t>
  </si>
  <si>
    <t>9:15 AM - 9:30 AM</t>
  </si>
  <si>
    <t>10:20 AM - 10:30 AM</t>
  </si>
  <si>
    <t>9:30 AM - 9:45 AM</t>
  </si>
  <si>
    <t>1:30 PM - 1:40 PM</t>
  </si>
  <si>
    <t>10:30 AM - 10:40 AM</t>
  </si>
  <si>
    <t>11:20 AM - 11:30 AM</t>
  </si>
  <si>
    <t>1:40 PM - 1:50 PM</t>
  </si>
  <si>
    <t>11:30 AM - 11:40 AM</t>
  </si>
  <si>
    <t>11:40 AM - 11:50 AM</t>
  </si>
  <si>
    <t>12:10 PM - 12:20 PM</t>
  </si>
  <si>
    <t>10:00 AM</t>
  </si>
  <si>
    <t>11:00 AM</t>
  </si>
  <si>
    <t>12:00 PM</t>
  </si>
  <si>
    <t>1:00 PM</t>
  </si>
  <si>
    <t>2:00 PM</t>
  </si>
  <si>
    <t>3:00 PM</t>
  </si>
  <si>
    <t>1:00 PM - 1:10 PM</t>
  </si>
  <si>
    <t>9:50 AM - 10:00 AM</t>
  </si>
  <si>
    <t>10:50 AM - 11:00 AM</t>
  </si>
  <si>
    <t>11:00 AM - 11:10 AM</t>
  </si>
  <si>
    <t>9:45 AM - 10:00 AM</t>
  </si>
  <si>
    <t>11:50 AM - 12:00 PM</t>
  </si>
  <si>
    <t>2:50 PM - 3:00 PM</t>
  </si>
  <si>
    <t>3:00 PM - 3:30 PM</t>
  </si>
  <si>
    <t>12:00 PM - 12:10 PM</t>
  </si>
  <si>
    <t>1:50 PM - 2:00 PM</t>
  </si>
  <si>
    <t>8:15 AM - 8:25 AM</t>
  </si>
  <si>
    <t>8:30 AM - 8:50 AM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</si>
  <si>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</si>
  <si>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</si>
  <si>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</si>
  <si>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</si>
  <si>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</si>
  <si>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</si>
  <si>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</si>
  <si>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</si>
  <si>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</si>
  <si>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</si>
  <si>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</si>
  <si>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</si>
  <si>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</si>
  <si>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</si>
  <si>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</si>
  <si>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</si>
  <si>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</si>
  <si>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</si>
  <si>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</si>
  <si>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</si>
  <si>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</si>
  <si>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</si>
  <si>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</si>
  <si>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</si>
  <si>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</si>
  <si>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</si>
  <si>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</si>
  <si>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</si>
  <si>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Team 29</t>
  </si>
  <si>
    <t>Team 30</t>
  </si>
  <si>
    <t>Team 31</t>
  </si>
  <si>
    <t>Team 32</t>
  </si>
  <si>
    <t>Team 33</t>
  </si>
  <si>
    <t>Team 34</t>
  </si>
  <si>
    <t>Team 35</t>
  </si>
  <si>
    <t>Team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</si>
</sst>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indexed="23"/>
      <name val="Arial"/>
      <family val="2"/>
    </font>
    <font>
      <sz val="10"/>
      <color indexed="53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color rgb="FF222222"/>
      <name val="Arial"/>
      <family val="2"/>
    </font>
    <font>
      <b/>
      <sz val="14"/>
      <name val="Arial"/>
      <family val="2"/>
    </font>
    <font>
      <b/>
      <sz val="16"/>
      <color rgb="FF000000"/>
      <name val="Arial"/>
      <family val="2"/>
    </font>
    <font>
      <sz val="11"/>
      <color indexed="8"/>
      <name val="Calibri"/>
      <family val="2"/>
    </font>
    <font>
      <b/>
      <sz val="16"/>
      <name val="Arial"/>
      <family val="2"/>
    </font>
    <font>
      <u/>
      <sz val="10"/>
      <name val="Arial"/>
      <family val="2"/>
    </font>
    <font>
      <b/>
      <u/>
      <sz val="16"/>
      <name val="Arial"/>
      <family val="2"/>
    </font>
    <font>
      <b/>
      <u/>
      <sz val="12"/>
      <name val="Arial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5" fillId="0" borderId="0"/>
    <xf numFmtId="0" fontId="10" fillId="0" borderId="0" applyFill="0" applyProtection="0"/>
    <xf numFmtId="0" fontId="10" fillId="0" borderId="0" applyFill="0" applyProtection="0"/>
    <xf numFmtId="0" fontId="1" fillId="0" borderId="0"/>
  </cellStyleXfs>
  <cellXfs count="154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2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/>
    <xf numFmtId="0" fontId="0" fillId="0" borderId="4" xfId="0" applyFill="1" applyBorder="1" applyAlignment="1">
      <alignment horizontal="center"/>
    </xf>
    <xf numFmtId="0" fontId="0" fillId="0" borderId="2" xfId="0" applyFill="1" applyBorder="1"/>
    <xf numFmtId="0" fontId="0" fillId="10" borderId="12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49" fontId="0" fillId="10" borderId="8" xfId="0" applyNumberFormat="1" applyFill="1" applyBorder="1" applyAlignment="1">
      <alignment horizontal="center"/>
    </xf>
    <xf numFmtId="49" fontId="0" fillId="10" borderId="9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0" xfId="0" applyNumberFormat="1"/>
    <xf numFmtId="0" fontId="6" fillId="10" borderId="9" xfId="0" applyFont="1" applyFill="1" applyBorder="1" applyAlignment="1">
      <alignment horizontal="center"/>
    </xf>
    <xf numFmtId="0" fontId="6" fillId="10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0" fontId="0" fillId="0" borderId="8" xfId="0" applyNumberFormat="1" applyFill="1" applyBorder="1" applyAlignment="1">
      <alignment horizontal="left"/>
    </xf>
    <xf numFmtId="0" fontId="7" fillId="0" borderId="0" xfId="0" applyFont="1" applyFill="1" applyAlignment="1">
      <alignment wrapText="1"/>
    </xf>
    <xf numFmtId="0" fontId="7" fillId="0" borderId="0" xfId="0" applyFont="1" applyFill="1" applyAlignment="1">
      <alignment wrapText="1" readingOrder="1"/>
    </xf>
    <xf numFmtId="164" fontId="0" fillId="0" borderId="8" xfId="0" applyNumberForma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 textRotation="90"/>
    </xf>
    <xf numFmtId="0" fontId="6" fillId="12" borderId="2" xfId="0" applyFont="1" applyFill="1" applyBorder="1" applyAlignment="1">
      <alignment horizontal="center" wrapText="1"/>
    </xf>
    <xf numFmtId="0" fontId="6" fillId="12" borderId="2" xfId="0" applyFont="1" applyFill="1" applyBorder="1" applyAlignment="1">
      <alignment wrapText="1"/>
    </xf>
    <xf numFmtId="0" fontId="6" fillId="12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wrapText="1"/>
    </xf>
    <xf numFmtId="0" fontId="6" fillId="0" borderId="2" xfId="0" applyFont="1" applyFill="1" applyBorder="1" applyAlignment="1">
      <alignment wrapText="1"/>
    </xf>
    <xf numFmtId="164" fontId="6" fillId="0" borderId="2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8" fillId="0" borderId="2" xfId="0" applyFont="1" applyFill="1" applyBorder="1" applyAlignment="1">
      <alignment wrapText="1"/>
    </xf>
    <xf numFmtId="164" fontId="8" fillId="0" borderId="14" xfId="0" applyNumberFormat="1" applyFont="1" applyFill="1" applyBorder="1" applyAlignment="1">
      <alignment wrapText="1"/>
    </xf>
    <xf numFmtId="164" fontId="0" fillId="3" borderId="3" xfId="0" applyNumberFormat="1" applyFill="1" applyBorder="1" applyAlignment="1">
      <alignment horizontal="center" textRotation="90"/>
    </xf>
    <xf numFmtId="0" fontId="0" fillId="10" borderId="8" xfId="0" applyFill="1" applyBorder="1" applyAlignment="1">
      <alignment horizontal="left"/>
    </xf>
    <xf numFmtId="0" fontId="0" fillId="10" borderId="9" xfId="0" applyFill="1" applyBorder="1" applyAlignment="1">
      <alignment horizontal="left"/>
    </xf>
    <xf numFmtId="0" fontId="0" fillId="13" borderId="4" xfId="0" applyFill="1" applyBorder="1" applyAlignment="1">
      <alignment horizontal="center"/>
    </xf>
    <xf numFmtId="164" fontId="0" fillId="13" borderId="8" xfId="0" applyNumberFormat="1" applyFill="1" applyBorder="1" applyAlignment="1">
      <alignment horizontal="center"/>
    </xf>
    <xf numFmtId="49" fontId="0" fillId="13" borderId="8" xfId="0" applyNumberFormat="1" applyFill="1" applyBorder="1" applyAlignment="1">
      <alignment horizontal="center"/>
    </xf>
    <xf numFmtId="20" fontId="0" fillId="13" borderId="8" xfId="0" applyNumberFormat="1" applyFill="1" applyBorder="1" applyAlignment="1">
      <alignment horizontal="left"/>
    </xf>
    <xf numFmtId="164" fontId="0" fillId="0" borderId="9" xfId="0" applyNumberFormat="1" applyBorder="1" applyAlignment="1">
      <alignment horizontal="center" vertical="center"/>
    </xf>
    <xf numFmtId="0" fontId="0" fillId="10" borderId="0" xfId="0" applyFill="1" applyBorder="1"/>
    <xf numFmtId="0" fontId="0" fillId="10" borderId="4" xfId="0" applyFill="1" applyBorder="1"/>
    <xf numFmtId="0" fontId="5" fillId="14" borderId="2" xfId="2" applyFill="1" applyBorder="1" applyAlignment="1">
      <alignment horizontal="center"/>
    </xf>
    <xf numFmtId="0" fontId="10" fillId="0" borderId="0" xfId="3" applyFill="1" applyProtection="1"/>
    <xf numFmtId="0" fontId="10" fillId="0" borderId="0" xfId="4" applyFill="1" applyProtection="1"/>
    <xf numFmtId="0" fontId="0" fillId="2" borderId="1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2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0" borderId="0" xfId="0" applyBorder="1"/>
    <xf numFmtId="0" fontId="6" fillId="6" borderId="10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20" fontId="5" fillId="0" borderId="8" xfId="0" applyNumberFormat="1" applyFont="1" applyFill="1" applyBorder="1" applyAlignment="1">
      <alignment horizontal="left"/>
    </xf>
    <xf numFmtId="0" fontId="0" fillId="14" borderId="4" xfId="0" applyFill="1" applyBorder="1" applyAlignment="1">
      <alignment horizontal="center"/>
    </xf>
    <xf numFmtId="164" fontId="0" fillId="14" borderId="8" xfId="0" applyNumberFormat="1" applyFill="1" applyBorder="1" applyAlignment="1">
      <alignment horizontal="center"/>
    </xf>
    <xf numFmtId="49" fontId="0" fillId="14" borderId="8" xfId="0" applyNumberFormat="1" applyFill="1" applyBorder="1" applyAlignment="1">
      <alignment horizontal="center"/>
    </xf>
    <xf numFmtId="20" fontId="0" fillId="14" borderId="8" xfId="0" applyNumberFormat="1" applyFill="1" applyBorder="1" applyAlignment="1">
      <alignment horizontal="left"/>
    </xf>
    <xf numFmtId="20" fontId="5" fillId="14" borderId="8" xfId="0" applyNumberFormat="1" applyFont="1" applyFill="1" applyBorder="1" applyAlignment="1">
      <alignment horizontal="left"/>
    </xf>
    <xf numFmtId="0" fontId="0" fillId="10" borderId="0" xfId="0" applyFill="1"/>
    <xf numFmtId="0" fontId="0" fillId="10" borderId="19" xfId="0" applyFill="1" applyBorder="1"/>
    <xf numFmtId="0" fontId="0" fillId="10" borderId="15" xfId="0" applyFill="1" applyBorder="1"/>
    <xf numFmtId="0" fontId="0" fillId="10" borderId="18" xfId="0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7" xfId="0" applyFill="1" applyBorder="1"/>
    <xf numFmtId="0" fontId="12" fillId="10" borderId="0" xfId="0" applyFont="1" applyFill="1" applyBorder="1"/>
    <xf numFmtId="0" fontId="13" fillId="10" borderId="18" xfId="0" applyFont="1" applyFill="1" applyBorder="1" applyAlignment="1">
      <alignment horizontal="right"/>
    </xf>
    <xf numFmtId="0" fontId="11" fillId="10" borderId="18" xfId="0" applyFont="1" applyFill="1" applyBorder="1" applyAlignment="1">
      <alignment horizontal="right"/>
    </xf>
    <xf numFmtId="0" fontId="6" fillId="10" borderId="0" xfId="0" applyFont="1" applyFill="1" applyBorder="1"/>
    <xf numFmtId="0" fontId="0" fillId="10" borderId="21" xfId="0" applyFill="1" applyBorder="1"/>
    <xf numFmtId="0" fontId="0" fillId="10" borderId="22" xfId="0" applyFill="1" applyBorder="1"/>
    <xf numFmtId="0" fontId="3" fillId="10" borderId="0" xfId="0" applyFont="1" applyFill="1"/>
    <xf numFmtId="18" fontId="0" fillId="10" borderId="15" xfId="0" applyNumberFormat="1" applyFill="1" applyBorder="1" applyAlignment="1">
      <alignment horizontal="center" textRotation="90"/>
    </xf>
    <xf numFmtId="0" fontId="0" fillId="10" borderId="16" xfId="0" applyFill="1" applyBorder="1" applyAlignment="1">
      <alignment horizontal="center"/>
    </xf>
    <xf numFmtId="18" fontId="0" fillId="10" borderId="18" xfId="0" applyNumberFormat="1" applyFill="1" applyBorder="1" applyAlignment="1">
      <alignment horizontal="center" textRotation="90"/>
    </xf>
    <xf numFmtId="0" fontId="0" fillId="10" borderId="0" xfId="0" applyFill="1" applyBorder="1" applyAlignment="1">
      <alignment horizontal="center"/>
    </xf>
    <xf numFmtId="164" fontId="0" fillId="3" borderId="26" xfId="0" applyNumberFormat="1" applyFill="1" applyBorder="1" applyAlignment="1">
      <alignment horizontal="center" textRotation="90"/>
    </xf>
    <xf numFmtId="0" fontId="0" fillId="0" borderId="0" xfId="0" applyBorder="1" applyAlignment="1">
      <alignment horizontal="center"/>
    </xf>
    <xf numFmtId="0" fontId="14" fillId="0" borderId="0" xfId="0" applyFont="1" applyFill="1"/>
    <xf numFmtId="0" fontId="15" fillId="0" borderId="0" xfId="5" applyFont="1" applyFill="1"/>
    <xf numFmtId="0" fontId="15" fillId="0" borderId="0" xfId="5" applyFont="1"/>
    <xf numFmtId="0" fontId="15" fillId="16" borderId="0" xfId="5" applyFont="1" applyFill="1"/>
    <xf numFmtId="164" fontId="5" fillId="3" borderId="23" xfId="0" quotePrefix="1" applyNumberFormat="1" applyFont="1" applyFill="1" applyBorder="1" applyAlignment="1">
      <alignment horizontal="center" textRotation="90"/>
    </xf>
    <xf numFmtId="164" fontId="2" fillId="0" borderId="16" xfId="0" quotePrefix="1" applyNumberFormat="1" applyFont="1" applyFill="1" applyBorder="1" applyAlignment="1">
      <alignment horizontal="center" textRotation="90"/>
    </xf>
    <xf numFmtId="164" fontId="5" fillId="3" borderId="24" xfId="0" quotePrefix="1" applyNumberFormat="1" applyFont="1" applyFill="1" applyBorder="1" applyAlignment="1">
      <alignment horizontal="center" textRotation="90"/>
    </xf>
    <xf numFmtId="0" fontId="0" fillId="0" borderId="1" xfId="0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0" fontId="6" fillId="17" borderId="13" xfId="0" applyFont="1" applyFill="1" applyBorder="1" applyAlignment="1">
      <alignment wrapText="1"/>
    </xf>
    <xf numFmtId="0" fontId="6" fillId="17" borderId="12" xfId="0" applyFont="1" applyFill="1" applyBorder="1" applyAlignment="1">
      <alignment horizontal="center" wrapText="1"/>
    </xf>
    <xf numFmtId="0" fontId="6" fillId="18" borderId="13" xfId="0" applyFont="1" applyFill="1" applyBorder="1" applyAlignment="1">
      <alignment wrapText="1"/>
    </xf>
    <xf numFmtId="0" fontId="6" fillId="18" borderId="12" xfId="0" applyFont="1" applyFill="1" applyBorder="1" applyAlignment="1">
      <alignment horizontal="center" wrapText="1"/>
    </xf>
    <xf numFmtId="0" fontId="6" fillId="19" borderId="13" xfId="0" applyFont="1" applyFill="1" applyBorder="1" applyAlignment="1">
      <alignment wrapText="1"/>
    </xf>
    <xf numFmtId="0" fontId="6" fillId="19" borderId="12" xfId="0" applyFont="1" applyFill="1" applyBorder="1" applyAlignment="1">
      <alignment horizontal="center" wrapText="1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1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3" borderId="26" xfId="0" applyFill="1" applyBorder="1" applyAlignment="1">
      <alignment horizontal="center" vertical="center" textRotation="90"/>
    </xf>
    <xf numFmtId="0" fontId="0" fillId="3" borderId="28" xfId="0" applyFill="1" applyBorder="1" applyAlignment="1">
      <alignment horizontal="center" vertical="center" textRotation="90"/>
    </xf>
    <xf numFmtId="0" fontId="0" fillId="3" borderId="30" xfId="0" applyFill="1" applyBorder="1" applyAlignment="1">
      <alignment horizontal="center" vertical="center" textRotation="90"/>
    </xf>
    <xf numFmtId="0" fontId="5" fillId="15" borderId="10" xfId="2" applyFill="1" applyBorder="1" applyAlignment="1">
      <alignment horizontal="center"/>
    </xf>
    <xf numFmtId="0" fontId="5" fillId="15" borderId="1" xfId="2" applyFill="1" applyBorder="1" applyAlignment="1">
      <alignment horizontal="center"/>
    </xf>
    <xf numFmtId="0" fontId="5" fillId="4" borderId="10" xfId="2" applyFill="1" applyBorder="1" applyAlignment="1">
      <alignment horizontal="center"/>
    </xf>
    <xf numFmtId="0" fontId="5" fillId="4" borderId="1" xfId="2" applyFill="1" applyBorder="1" applyAlignment="1">
      <alignment horizontal="center"/>
    </xf>
    <xf numFmtId="0" fontId="0" fillId="10" borderId="25" xfId="0" applyFill="1" applyBorder="1" applyAlignment="1">
      <alignment horizontal="center" vertical="center" textRotation="90"/>
    </xf>
    <xf numFmtId="0" fontId="0" fillId="10" borderId="27" xfId="0" applyFill="1" applyBorder="1" applyAlignment="1">
      <alignment horizontal="center" vertical="center" textRotation="90"/>
    </xf>
    <xf numFmtId="0" fontId="0" fillId="10" borderId="29" xfId="0" applyFill="1" applyBorder="1" applyAlignment="1">
      <alignment horizontal="center" vertical="center" textRotation="90"/>
    </xf>
    <xf numFmtId="0" fontId="0" fillId="3" borderId="3" xfId="0" applyFill="1" applyBorder="1" applyAlignment="1">
      <alignment horizontal="center" vertical="center" textRotation="90"/>
    </xf>
    <xf numFmtId="0" fontId="0" fillId="3" borderId="8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5" fillId="5" borderId="10" xfId="2" applyFill="1" applyBorder="1" applyAlignment="1">
      <alignment horizontal="center"/>
    </xf>
    <xf numFmtId="0" fontId="5" fillId="5" borderId="1" xfId="2" applyFill="1" applyBorder="1" applyAlignment="1">
      <alignment horizontal="center"/>
    </xf>
    <xf numFmtId="0" fontId="5" fillId="3" borderId="3" xfId="0" applyFont="1" applyFill="1" applyBorder="1" applyAlignment="1">
      <alignment horizontal="center" vertical="center" textRotation="90"/>
    </xf>
    <xf numFmtId="0" fontId="5" fillId="3" borderId="8" xfId="0" applyFont="1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6" fillId="18" borderId="7" xfId="0" applyFont="1" applyFill="1" applyBorder="1" applyAlignment="1">
      <alignment horizontal="center" wrapText="1"/>
    </xf>
    <xf numFmtId="0" fontId="6" fillId="18" borderId="6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 vertical="center"/>
    </xf>
    <xf numFmtId="0" fontId="6" fillId="19" borderId="7" xfId="0" applyFont="1" applyFill="1" applyBorder="1" applyAlignment="1">
      <alignment horizontal="center" wrapText="1"/>
    </xf>
    <xf numFmtId="0" fontId="6" fillId="19" borderId="6" xfId="0" applyFont="1" applyFill="1" applyBorder="1" applyAlignment="1">
      <alignment horizontal="center" wrapText="1"/>
    </xf>
    <xf numFmtId="0" fontId="6" fillId="17" borderId="7" xfId="0" applyFont="1" applyFill="1" applyBorder="1" applyAlignment="1">
      <alignment horizontal="center" wrapText="1"/>
    </xf>
    <xf numFmtId="0" fontId="6" fillId="17" borderId="6" xfId="0" applyFont="1" applyFill="1" applyBorder="1" applyAlignment="1">
      <alignment horizontal="center" wrapText="1"/>
    </xf>
  </cellXfs>
  <cellStyles count="6">
    <cellStyle name="Normal" xfId="0" builtinId="0"/>
    <cellStyle name="Normal 2" xfId="2"/>
    <cellStyle name="Normal 2 2" xfId="4"/>
    <cellStyle name="Normal 3" xfId="1"/>
    <cellStyle name="Normal 4" xfId="3"/>
    <cellStyle name="Normal 5" xfId="5"/>
  </cellStyles>
  <dxfs count="0"/>
  <tableStyles count="0" defaultTableStyle="TableStyleMedium9" defaultPivotStyle="PivotStyleLight16"/>
  <colors>
    <mruColors>
      <color rgb="FF00FF00"/>
      <color rgb="FFFFFF66"/>
      <color rgb="FFFFFF99"/>
      <color rgb="FF99CCFF"/>
      <color rgb="FFFF990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66675</xdr:rowOff>
        </xdr:from>
        <xdr:to>
          <xdr:col>5</xdr:col>
          <xdr:colOff>438150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Custom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64"/>
  <sheetViews>
    <sheetView tabSelected="1" zoomScale="66" zoomScaleNormal="66" workbookViewId="0">
      <selection activeCell="I16" sqref="I16"/>
    </sheetView>
  </sheetViews>
  <sheetFormatPr defaultRowHeight="12.75" x14ac:dyDescent="0.2"/>
  <cols>
    <col min="1" max="1" width="9.140625" style="1"/>
    <col min="2" max="2" width="9.140625" style="1" bestFit="1" customWidth="1"/>
    <col min="3" max="3" width="25.7109375" style="1" customWidth="1"/>
    <col min="4" max="7" width="9.140625" style="1"/>
    <col min="8" max="8" width="6.7109375" style="1" bestFit="1" customWidth="1"/>
    <col min="9" max="9" width="38.42578125" style="1" bestFit="1" customWidth="1"/>
    <col min="10" max="10" width="35" style="1" bestFit="1" customWidth="1"/>
    <col min="11" max="11" width="22.7109375" style="1" bestFit="1" customWidth="1"/>
    <col min="12" max="16384" width="9.140625" style="1"/>
  </cols>
  <sheetData>
    <row r="1" spans="2:11" ht="15.75" x14ac:dyDescent="0.25">
      <c r="B1" s="85" t="s">
        <v>12</v>
      </c>
      <c r="C1" s="85" t="s">
        <v>1</v>
      </c>
    </row>
    <row r="2" spans="2:11" ht="15.75" x14ac:dyDescent="0.25">
      <c r="B2" s="86">
        <v>1</v>
      </c>
      <c r="C2" s="86" t="s">
        <v>181</v>
      </c>
      <c r="H2" s="86"/>
      <c r="I2" s="86"/>
      <c r="J2" s="87"/>
      <c r="K2" s="87"/>
    </row>
    <row r="3" spans="2:11" ht="15.75" x14ac:dyDescent="0.25">
      <c r="B3" s="88">
        <v>2</v>
      </c>
      <c r="C3" s="86" t="s">
        <v>182</v>
      </c>
      <c r="H3" s="86"/>
      <c r="I3" s="86"/>
      <c r="J3" s="87"/>
      <c r="K3" s="87"/>
    </row>
    <row r="4" spans="2:11" ht="15.75" x14ac:dyDescent="0.25">
      <c r="B4" s="86">
        <v>3</v>
      </c>
      <c r="C4" s="86" t="s">
        <v>183</v>
      </c>
      <c r="H4" s="86"/>
      <c r="I4" s="86"/>
      <c r="J4" s="87"/>
      <c r="K4" s="87"/>
    </row>
    <row r="5" spans="2:11" ht="15.75" x14ac:dyDescent="0.25">
      <c r="B5" s="88">
        <v>4</v>
      </c>
      <c r="C5" s="86" t="s">
        <v>184</v>
      </c>
      <c r="H5" s="86"/>
      <c r="I5" s="86"/>
      <c r="J5" s="87"/>
      <c r="K5" s="87"/>
    </row>
    <row r="6" spans="2:11" ht="15.75" x14ac:dyDescent="0.25">
      <c r="B6" s="86">
        <v>5</v>
      </c>
      <c r="C6" s="86" t="s">
        <v>185</v>
      </c>
      <c r="H6" s="86"/>
      <c r="I6" s="86"/>
      <c r="J6" s="87"/>
      <c r="K6" s="87"/>
    </row>
    <row r="7" spans="2:11" ht="15.75" x14ac:dyDescent="0.25">
      <c r="B7" s="88">
        <v>6</v>
      </c>
      <c r="C7" s="86" t="s">
        <v>186</v>
      </c>
      <c r="H7" s="86"/>
      <c r="I7" s="86"/>
      <c r="J7" s="87"/>
      <c r="K7" s="87"/>
    </row>
    <row r="8" spans="2:11" ht="15.75" x14ac:dyDescent="0.25">
      <c r="B8" s="86">
        <v>7</v>
      </c>
      <c r="C8" s="86" t="s">
        <v>187</v>
      </c>
      <c r="H8" s="86"/>
      <c r="I8" s="86"/>
      <c r="J8" s="87"/>
      <c r="K8" s="87"/>
    </row>
    <row r="9" spans="2:11" ht="15.75" x14ac:dyDescent="0.25">
      <c r="B9" s="88">
        <v>8</v>
      </c>
      <c r="C9" s="86" t="s">
        <v>188</v>
      </c>
      <c r="H9" s="86"/>
      <c r="I9" s="86"/>
      <c r="J9" s="87"/>
      <c r="K9" s="87"/>
    </row>
    <row r="10" spans="2:11" ht="15.75" x14ac:dyDescent="0.25">
      <c r="B10" s="86">
        <v>9</v>
      </c>
      <c r="C10" s="86" t="s">
        <v>189</v>
      </c>
      <c r="H10" s="86"/>
      <c r="I10" s="86"/>
      <c r="J10" s="87"/>
      <c r="K10" s="87"/>
    </row>
    <row r="11" spans="2:11" ht="15.75" x14ac:dyDescent="0.25">
      <c r="B11" s="88">
        <v>10</v>
      </c>
      <c r="C11" s="86" t="s">
        <v>190</v>
      </c>
      <c r="H11" s="86"/>
      <c r="I11" s="86"/>
      <c r="J11" s="87"/>
      <c r="K11" s="87"/>
    </row>
    <row r="12" spans="2:11" ht="15.75" x14ac:dyDescent="0.25">
      <c r="B12" s="86">
        <v>11</v>
      </c>
      <c r="C12" s="86" t="s">
        <v>191</v>
      </c>
      <c r="H12" s="86"/>
      <c r="I12" s="86"/>
      <c r="J12" s="87"/>
      <c r="K12" s="87"/>
    </row>
    <row r="13" spans="2:11" ht="15.75" x14ac:dyDescent="0.25">
      <c r="B13" s="88">
        <v>12</v>
      </c>
      <c r="C13" s="86" t="s">
        <v>192</v>
      </c>
      <c r="H13" s="86"/>
      <c r="I13" s="86"/>
      <c r="J13" s="87"/>
      <c r="K13" s="87"/>
    </row>
    <row r="14" spans="2:11" ht="15.75" x14ac:dyDescent="0.25">
      <c r="B14" s="86">
        <v>13</v>
      </c>
      <c r="C14" s="86" t="s">
        <v>193</v>
      </c>
      <c r="H14" s="86"/>
      <c r="I14" s="86"/>
      <c r="J14" s="87"/>
      <c r="K14" s="87"/>
    </row>
    <row r="15" spans="2:11" ht="15.75" x14ac:dyDescent="0.25">
      <c r="B15" s="88">
        <v>14</v>
      </c>
      <c r="C15" s="86" t="s">
        <v>194</v>
      </c>
      <c r="H15" s="86"/>
      <c r="I15" s="86"/>
      <c r="J15" s="87"/>
      <c r="K15" s="87"/>
    </row>
    <row r="16" spans="2:11" ht="15.75" x14ac:dyDescent="0.25">
      <c r="B16" s="86">
        <v>15</v>
      </c>
      <c r="C16" s="86" t="s">
        <v>195</v>
      </c>
      <c r="H16" s="86"/>
      <c r="I16" s="86"/>
      <c r="J16" s="87"/>
      <c r="K16" s="87"/>
    </row>
    <row r="17" spans="2:12" ht="15.75" x14ac:dyDescent="0.25">
      <c r="B17" s="88">
        <v>16</v>
      </c>
      <c r="C17" s="86" t="s">
        <v>196</v>
      </c>
      <c r="H17" s="86"/>
      <c r="I17" s="86"/>
      <c r="J17" s="87"/>
      <c r="K17" s="87"/>
    </row>
    <row r="18" spans="2:12" ht="15.75" x14ac:dyDescent="0.25">
      <c r="B18" s="86">
        <v>17</v>
      </c>
      <c r="C18" s="86" t="s">
        <v>197</v>
      </c>
      <c r="H18" s="86"/>
      <c r="I18" s="86"/>
      <c r="J18" s="87"/>
      <c r="K18" s="87"/>
    </row>
    <row r="19" spans="2:12" ht="15.75" x14ac:dyDescent="0.25">
      <c r="B19" s="88">
        <v>18</v>
      </c>
      <c r="C19" s="86" t="s">
        <v>198</v>
      </c>
      <c r="H19" s="86"/>
      <c r="I19" s="86"/>
      <c r="J19" s="87"/>
      <c r="K19" s="87"/>
    </row>
    <row r="20" spans="2:12" ht="15.75" x14ac:dyDescent="0.25">
      <c r="B20" s="86">
        <v>19</v>
      </c>
      <c r="C20" s="86" t="s">
        <v>199</v>
      </c>
      <c r="H20" s="86"/>
      <c r="I20" s="86"/>
      <c r="J20" s="87"/>
      <c r="K20" s="87"/>
    </row>
    <row r="21" spans="2:12" ht="15.75" x14ac:dyDescent="0.25">
      <c r="B21" s="88">
        <v>20</v>
      </c>
      <c r="C21" s="86" t="s">
        <v>200</v>
      </c>
      <c r="H21" s="86"/>
      <c r="I21" s="86"/>
      <c r="J21" s="87"/>
      <c r="K21" s="87"/>
    </row>
    <row r="22" spans="2:12" ht="15.75" x14ac:dyDescent="0.25">
      <c r="B22" s="86">
        <v>21</v>
      </c>
      <c r="C22" s="86" t="s">
        <v>201</v>
      </c>
      <c r="H22" s="86"/>
      <c r="I22" s="86"/>
      <c r="J22" s="87"/>
      <c r="K22" s="87"/>
    </row>
    <row r="23" spans="2:12" ht="15.75" x14ac:dyDescent="0.25">
      <c r="B23" s="88">
        <v>22</v>
      </c>
      <c r="C23" s="86" t="s">
        <v>202</v>
      </c>
      <c r="H23" s="86"/>
      <c r="I23" s="86"/>
      <c r="J23" s="87"/>
      <c r="K23" s="87"/>
    </row>
    <row r="24" spans="2:12" ht="15.75" x14ac:dyDescent="0.25">
      <c r="B24" s="86">
        <v>23</v>
      </c>
      <c r="C24" s="86" t="s">
        <v>203</v>
      </c>
      <c r="H24" s="86"/>
      <c r="I24" s="86"/>
      <c r="J24" s="87"/>
      <c r="K24" s="87"/>
    </row>
    <row r="25" spans="2:12" ht="15.75" x14ac:dyDescent="0.25">
      <c r="B25" s="88">
        <v>24</v>
      </c>
      <c r="C25" s="86" t="s">
        <v>204</v>
      </c>
      <c r="H25" s="86"/>
      <c r="I25" s="86"/>
      <c r="J25" s="87"/>
      <c r="K25" s="87"/>
    </row>
    <row r="26" spans="2:12" ht="15.75" x14ac:dyDescent="0.25">
      <c r="B26" s="86">
        <v>25</v>
      </c>
      <c r="C26" s="86" t="s">
        <v>205</v>
      </c>
      <c r="E26" s="2"/>
      <c r="F26" s="2"/>
      <c r="G26" s="2"/>
      <c r="H26" s="86"/>
      <c r="I26" s="86"/>
      <c r="J26" s="87"/>
      <c r="K26" s="87"/>
      <c r="L26" s="2"/>
    </row>
    <row r="27" spans="2:12" ht="15.75" x14ac:dyDescent="0.25">
      <c r="B27" s="88">
        <v>26</v>
      </c>
      <c r="C27" s="86" t="s">
        <v>206</v>
      </c>
      <c r="H27" s="86"/>
      <c r="I27" s="86"/>
      <c r="J27" s="87"/>
      <c r="K27" s="87"/>
    </row>
    <row r="28" spans="2:12" ht="15.75" x14ac:dyDescent="0.25">
      <c r="B28" s="86">
        <v>27</v>
      </c>
      <c r="C28" s="86" t="s">
        <v>207</v>
      </c>
      <c r="H28" s="86"/>
      <c r="I28" s="86"/>
      <c r="J28" s="87"/>
      <c r="K28" s="87"/>
    </row>
    <row r="29" spans="2:12" ht="15.75" x14ac:dyDescent="0.25">
      <c r="B29" s="88">
        <v>28</v>
      </c>
      <c r="C29" s="86" t="s">
        <v>208</v>
      </c>
      <c r="H29" s="86"/>
      <c r="I29" s="86"/>
      <c r="J29" s="87"/>
      <c r="K29" s="87"/>
    </row>
    <row r="30" spans="2:12" ht="15.75" x14ac:dyDescent="0.25">
      <c r="B30" s="86">
        <v>29</v>
      </c>
      <c r="C30" s="86" t="s">
        <v>209</v>
      </c>
      <c r="H30" s="86"/>
      <c r="I30" s="86"/>
      <c r="J30" s="87"/>
      <c r="K30" s="87"/>
    </row>
    <row r="31" spans="2:12" ht="15.75" x14ac:dyDescent="0.25">
      <c r="B31" s="88">
        <v>30</v>
      </c>
      <c r="C31" s="86" t="s">
        <v>210</v>
      </c>
      <c r="H31" s="86"/>
      <c r="I31" s="86"/>
      <c r="J31" s="87"/>
      <c r="K31" s="87"/>
    </row>
    <row r="32" spans="2:12" ht="15.75" x14ac:dyDescent="0.25">
      <c r="B32" s="86">
        <v>31</v>
      </c>
      <c r="C32" s="86" t="s">
        <v>211</v>
      </c>
      <c r="H32" s="86"/>
      <c r="I32" s="86"/>
      <c r="J32" s="87"/>
      <c r="K32" s="87"/>
    </row>
    <row r="33" spans="2:11" ht="15.75" x14ac:dyDescent="0.25">
      <c r="B33" s="88">
        <v>32</v>
      </c>
      <c r="C33" s="86" t="s">
        <v>212</v>
      </c>
      <c r="H33" s="86"/>
      <c r="I33" s="86"/>
      <c r="J33" s="87"/>
      <c r="K33" s="87"/>
    </row>
    <row r="34" spans="2:11" ht="15.75" x14ac:dyDescent="0.25">
      <c r="B34" s="86">
        <v>33</v>
      </c>
      <c r="C34" s="86" t="s">
        <v>213</v>
      </c>
      <c r="H34" s="86"/>
      <c r="I34" s="86"/>
      <c r="J34" s="87"/>
      <c r="K34" s="87"/>
    </row>
    <row r="35" spans="2:11" ht="15.75" x14ac:dyDescent="0.25">
      <c r="B35" s="88">
        <v>34</v>
      </c>
      <c r="C35" s="86" t="s">
        <v>214</v>
      </c>
      <c r="H35" s="86"/>
      <c r="I35" s="86"/>
      <c r="J35" s="87"/>
      <c r="K35" s="87"/>
    </row>
    <row r="36" spans="2:11" ht="15.75" x14ac:dyDescent="0.25">
      <c r="B36" s="86">
        <v>35</v>
      </c>
      <c r="C36" s="86" t="s">
        <v>215</v>
      </c>
      <c r="H36" s="86"/>
      <c r="I36" s="86"/>
      <c r="J36" s="87"/>
      <c r="K36" s="87"/>
    </row>
    <row r="37" spans="2:11" ht="15.75" x14ac:dyDescent="0.25">
      <c r="B37" s="88">
        <v>36</v>
      </c>
      <c r="C37" s="86" t="s">
        <v>216</v>
      </c>
      <c r="H37" s="86"/>
      <c r="I37" s="86"/>
      <c r="J37" s="87"/>
      <c r="K37" s="87"/>
    </row>
    <row r="38" spans="2:11" ht="15.75" x14ac:dyDescent="0.25">
      <c r="B38" s="86"/>
      <c r="C38" s="86"/>
    </row>
    <row r="40" spans="2:11" ht="15" x14ac:dyDescent="0.25">
      <c r="B40" s="45"/>
      <c r="C40" s="46"/>
    </row>
    <row r="41" spans="2:11" x14ac:dyDescent="0.2">
      <c r="B41" s="20"/>
      <c r="C41" s="21"/>
    </row>
    <row r="42" spans="2:11" ht="15.75" x14ac:dyDescent="0.25">
      <c r="B42" s="86"/>
      <c r="C42" s="86"/>
    </row>
    <row r="43" spans="2:11" x14ac:dyDescent="0.2">
      <c r="B43" s="20"/>
      <c r="C43" s="21"/>
    </row>
    <row r="44" spans="2:11" x14ac:dyDescent="0.2">
      <c r="B44" s="20"/>
      <c r="C44" s="21"/>
    </row>
    <row r="45" spans="2:11" x14ac:dyDescent="0.2">
      <c r="B45" s="20"/>
      <c r="C45" s="21"/>
    </row>
    <row r="46" spans="2:11" x14ac:dyDescent="0.2">
      <c r="B46" s="20"/>
      <c r="C46" s="21"/>
    </row>
    <row r="47" spans="2:11" x14ac:dyDescent="0.2">
      <c r="B47" s="20"/>
      <c r="C47" s="21"/>
    </row>
    <row r="48" spans="2:11" x14ac:dyDescent="0.2">
      <c r="B48" s="20"/>
      <c r="C48" s="21"/>
    </row>
    <row r="49" spans="2:3" x14ac:dyDescent="0.2">
      <c r="B49" s="20"/>
      <c r="C49" s="21"/>
    </row>
    <row r="50" spans="2:3" x14ac:dyDescent="0.2">
      <c r="B50" s="20"/>
      <c r="C50" s="21"/>
    </row>
    <row r="51" spans="2:3" x14ac:dyDescent="0.2">
      <c r="B51" s="20"/>
      <c r="C51" s="21"/>
    </row>
    <row r="52" spans="2:3" x14ac:dyDescent="0.2">
      <c r="B52" s="20"/>
      <c r="C52" s="21"/>
    </row>
    <row r="53" spans="2:3" x14ac:dyDescent="0.2">
      <c r="B53" s="20"/>
      <c r="C53" s="21"/>
    </row>
    <row r="54" spans="2:3" x14ac:dyDescent="0.2">
      <c r="B54" s="20"/>
      <c r="C54" s="21"/>
    </row>
    <row r="55" spans="2:3" x14ac:dyDescent="0.2">
      <c r="B55" s="20"/>
      <c r="C55" s="21"/>
    </row>
    <row r="56" spans="2:3" x14ac:dyDescent="0.2">
      <c r="B56" s="20"/>
      <c r="C56" s="21"/>
    </row>
    <row r="57" spans="2:3" x14ac:dyDescent="0.2">
      <c r="B57" s="20"/>
      <c r="C57" s="21"/>
    </row>
    <row r="58" spans="2:3" x14ac:dyDescent="0.2">
      <c r="B58" s="20"/>
      <c r="C58" s="21"/>
    </row>
    <row r="59" spans="2:3" x14ac:dyDescent="0.2">
      <c r="B59" s="20"/>
      <c r="C59" s="21"/>
    </row>
    <row r="60" spans="2:3" x14ac:dyDescent="0.2">
      <c r="B60" s="20"/>
      <c r="C60" s="21"/>
    </row>
    <row r="61" spans="2:3" x14ac:dyDescent="0.2">
      <c r="B61" s="20"/>
      <c r="C61" s="21"/>
    </row>
    <row r="62" spans="2:3" x14ac:dyDescent="0.2">
      <c r="B62" s="20"/>
      <c r="C62" s="21"/>
    </row>
    <row r="63" spans="2:3" x14ac:dyDescent="0.2">
      <c r="B63" s="20"/>
      <c r="C63" s="21"/>
    </row>
    <row r="64" spans="2:3" x14ac:dyDescent="0.2">
      <c r="B64" s="20"/>
      <c r="C64" s="21"/>
    </row>
  </sheetData>
  <sortState ref="H2:K35">
    <sortCondition ref="J2:J35"/>
    <sortCondition ref="H2:H35"/>
  </sortState>
  <phoneticPr fontId="0" type="noConversion"/>
  <printOptions gridLines="1"/>
  <pageMargins left="0.25" right="0.25" top="0.75" bottom="0.75" header="0.3" footer="0.3"/>
  <pageSetup paperSize="17" scale="11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3</xdr:row>
                    <xdr:rowOff>66675</xdr:rowOff>
                  </from>
                  <to>
                    <xdr:col>5</xdr:col>
                    <xdr:colOff>438150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59999389629810485"/>
    <pageSetUpPr fitToPage="1"/>
  </sheetPr>
  <dimension ref="A1:CI73"/>
  <sheetViews>
    <sheetView zoomScale="70" zoomScaleNormal="70" workbookViewId="0">
      <selection activeCell="B3" sqref="B3"/>
    </sheetView>
  </sheetViews>
  <sheetFormatPr defaultRowHeight="12.75" x14ac:dyDescent="0.2"/>
  <cols>
    <col min="1" max="1" width="1.140625" customWidth="1"/>
    <col min="2" max="2" width="7.5703125" bestFit="1" customWidth="1"/>
    <col min="3" max="3" width="39.28515625" bestFit="1" customWidth="1"/>
    <col min="4" max="4" width="9.7109375" customWidth="1"/>
    <col min="5" max="16" width="3.7109375" customWidth="1"/>
    <col min="17" max="17" width="6.7109375" customWidth="1"/>
    <col min="18" max="29" width="3.7109375" customWidth="1"/>
    <col min="30" max="30" width="6.7109375" customWidth="1"/>
    <col min="31" max="42" width="3.7109375" customWidth="1"/>
    <col min="43" max="43" width="24.7109375" customWidth="1"/>
    <col min="44" max="55" width="3.7109375" customWidth="1"/>
    <col min="56" max="56" width="6.7109375" customWidth="1"/>
    <col min="57" max="68" width="3.7109375" customWidth="1"/>
    <col min="69" max="69" width="18.7109375" customWidth="1"/>
    <col min="70" max="70" width="13.7109375" customWidth="1"/>
  </cols>
  <sheetData>
    <row r="1" spans="1:87" ht="62.25" customHeight="1" x14ac:dyDescent="0.2">
      <c r="A1" s="79"/>
      <c r="B1" s="80"/>
      <c r="C1" s="80"/>
      <c r="D1" s="89" t="s">
        <v>65</v>
      </c>
      <c r="E1" s="90" t="s">
        <v>66</v>
      </c>
      <c r="F1" s="90" t="s">
        <v>67</v>
      </c>
      <c r="G1" s="90" t="s">
        <v>68</v>
      </c>
      <c r="H1" s="90" t="s">
        <v>69</v>
      </c>
      <c r="I1" s="90" t="s">
        <v>70</v>
      </c>
      <c r="J1" s="90" t="s">
        <v>72</v>
      </c>
      <c r="K1" s="90" t="s">
        <v>73</v>
      </c>
      <c r="L1" s="90" t="s">
        <v>71</v>
      </c>
      <c r="M1" s="90" t="s">
        <v>74</v>
      </c>
      <c r="N1" s="90" t="s">
        <v>75</v>
      </c>
      <c r="O1" s="90" t="s">
        <v>76</v>
      </c>
      <c r="P1" s="90" t="s">
        <v>77</v>
      </c>
      <c r="Q1" s="89" t="s">
        <v>163</v>
      </c>
      <c r="R1" s="90" t="s">
        <v>78</v>
      </c>
      <c r="S1" s="90" t="s">
        <v>79</v>
      </c>
      <c r="T1" s="90" t="s">
        <v>80</v>
      </c>
      <c r="U1" s="90" t="s">
        <v>81</v>
      </c>
      <c r="V1" s="90" t="s">
        <v>82</v>
      </c>
      <c r="W1" s="90" t="s">
        <v>83</v>
      </c>
      <c r="X1" s="90" t="s">
        <v>84</v>
      </c>
      <c r="Y1" s="90" t="s">
        <v>85</v>
      </c>
      <c r="Z1" s="90" t="s">
        <v>86</v>
      </c>
      <c r="AA1" s="90" t="s">
        <v>87</v>
      </c>
      <c r="AB1" s="90" t="s">
        <v>164</v>
      </c>
      <c r="AC1" s="90" t="s">
        <v>88</v>
      </c>
      <c r="AD1" s="89" t="s">
        <v>89</v>
      </c>
      <c r="AE1" s="90" t="s">
        <v>90</v>
      </c>
      <c r="AF1" s="90" t="s">
        <v>91</v>
      </c>
      <c r="AG1" s="90" t="s">
        <v>92</v>
      </c>
      <c r="AH1" s="90" t="s">
        <v>93</v>
      </c>
      <c r="AI1" s="90" t="s">
        <v>94</v>
      </c>
      <c r="AJ1" s="90" t="s">
        <v>95</v>
      </c>
      <c r="AK1" s="90" t="s">
        <v>96</v>
      </c>
      <c r="AL1" s="90" t="s">
        <v>97</v>
      </c>
      <c r="AM1" s="90" t="s">
        <v>165</v>
      </c>
      <c r="AN1" s="90" t="s">
        <v>98</v>
      </c>
      <c r="AO1" s="90" t="s">
        <v>99</v>
      </c>
      <c r="AP1" s="90" t="s">
        <v>100</v>
      </c>
      <c r="AQ1" s="89" t="s">
        <v>101</v>
      </c>
      <c r="AR1" s="90" t="s">
        <v>166</v>
      </c>
      <c r="AS1" s="90" t="s">
        <v>102</v>
      </c>
      <c r="AT1" s="90" t="s">
        <v>103</v>
      </c>
      <c r="AU1" s="90" t="s">
        <v>104</v>
      </c>
      <c r="AV1" s="90" t="s">
        <v>105</v>
      </c>
      <c r="AW1" s="90" t="s">
        <v>106</v>
      </c>
      <c r="AX1" s="90" t="s">
        <v>107</v>
      </c>
      <c r="AY1" s="90" t="s">
        <v>108</v>
      </c>
      <c r="AZ1" s="90" t="s">
        <v>109</v>
      </c>
      <c r="BA1" s="90" t="s">
        <v>110</v>
      </c>
      <c r="BB1" s="90" t="s">
        <v>111</v>
      </c>
      <c r="BC1" s="90" t="s">
        <v>112</v>
      </c>
      <c r="BD1" s="89" t="s">
        <v>167</v>
      </c>
      <c r="BE1" s="90" t="s">
        <v>113</v>
      </c>
      <c r="BF1" s="90" t="s">
        <v>114</v>
      </c>
      <c r="BG1" s="90" t="s">
        <v>115</v>
      </c>
      <c r="BH1" s="90" t="s">
        <v>116</v>
      </c>
      <c r="BI1" s="90" t="s">
        <v>117</v>
      </c>
      <c r="BJ1" s="90" t="s">
        <v>118</v>
      </c>
      <c r="BK1" s="90" t="s">
        <v>119</v>
      </c>
      <c r="BL1" s="90" t="s">
        <v>120</v>
      </c>
      <c r="BM1" s="90" t="s">
        <v>121</v>
      </c>
      <c r="BN1" s="90" t="s">
        <v>122</v>
      </c>
      <c r="BO1" s="90" t="s">
        <v>168</v>
      </c>
      <c r="BP1" s="90" t="s">
        <v>123</v>
      </c>
      <c r="BQ1" s="91" t="s">
        <v>124</v>
      </c>
      <c r="BR1" s="42"/>
      <c r="BS1" s="4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</row>
    <row r="2" spans="1:87" ht="12.75" customHeight="1" x14ac:dyDescent="0.2">
      <c r="A2" s="128"/>
      <c r="B2" s="47" t="s">
        <v>0</v>
      </c>
      <c r="C2" s="3" t="s">
        <v>1</v>
      </c>
      <c r="D2" s="131" t="s">
        <v>2</v>
      </c>
      <c r="E2" s="135" t="s">
        <v>5</v>
      </c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7"/>
      <c r="Q2" s="131" t="s">
        <v>3</v>
      </c>
      <c r="R2" s="143" t="s">
        <v>6</v>
      </c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5"/>
      <c r="AD2" s="131" t="s">
        <v>3</v>
      </c>
      <c r="AE2" s="135" t="s">
        <v>7</v>
      </c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7"/>
      <c r="AQ2" s="141" t="s">
        <v>27</v>
      </c>
      <c r="AR2" s="135" t="s">
        <v>8</v>
      </c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7"/>
      <c r="BQ2" s="121" t="s">
        <v>4</v>
      </c>
      <c r="BR2" s="42"/>
      <c r="BS2" s="4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ht="12.75" customHeight="1" x14ac:dyDescent="0.2">
      <c r="A3" s="129"/>
      <c r="B3" s="52">
        <f>IF(Teams!B2&lt;&gt;"", Teams!B2,"")</f>
        <v>1</v>
      </c>
      <c r="C3" s="53" t="str">
        <f>IF(Teams!C2&lt;&gt;"", Teams!C2,"")</f>
        <v>Team 1</v>
      </c>
      <c r="D3" s="132"/>
      <c r="E3" s="114">
        <f>+$B3</f>
        <v>1</v>
      </c>
      <c r="F3" s="114"/>
      <c r="G3" s="48"/>
      <c r="H3" s="48"/>
      <c r="I3" s="48"/>
      <c r="J3" s="48"/>
      <c r="K3" s="115">
        <f>+$B3</f>
        <v>1</v>
      </c>
      <c r="L3" s="115"/>
      <c r="M3" s="48"/>
      <c r="N3" s="48"/>
      <c r="O3" s="48"/>
      <c r="P3" s="48"/>
      <c r="Q3" s="132"/>
      <c r="R3" s="112">
        <f t="shared" ref="R3:R8" si="0">+$B3</f>
        <v>1</v>
      </c>
      <c r="S3" s="112"/>
      <c r="T3" s="112"/>
      <c r="U3" s="44"/>
      <c r="V3" s="44"/>
      <c r="W3" s="44"/>
      <c r="X3" s="109">
        <f t="shared" ref="X3:X8" si="1">+$B3</f>
        <v>1</v>
      </c>
      <c r="Y3" s="110"/>
      <c r="Z3" s="111"/>
      <c r="AA3" s="44"/>
      <c r="AB3" s="44"/>
      <c r="AC3" s="44"/>
      <c r="AD3" s="132"/>
      <c r="AE3" s="113">
        <f>+$B3</f>
        <v>1</v>
      </c>
      <c r="AF3" s="113"/>
      <c r="AG3" s="113"/>
      <c r="AH3" s="48"/>
      <c r="AI3" s="48"/>
      <c r="AJ3" s="48"/>
      <c r="AK3" s="48"/>
      <c r="AL3" s="48"/>
      <c r="AM3" s="48"/>
      <c r="AN3" s="48"/>
      <c r="AO3" s="48"/>
      <c r="AP3" s="48"/>
      <c r="AQ3" s="142"/>
      <c r="AR3" s="124">
        <f t="shared" ref="AR3:AR5" si="2">+$B3</f>
        <v>1</v>
      </c>
      <c r="AS3" s="125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131" t="s">
        <v>3</v>
      </c>
      <c r="BE3" s="139">
        <f t="shared" ref="BE3" si="3">+$B3</f>
        <v>1</v>
      </c>
      <c r="BF3" s="140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122"/>
      <c r="BR3" s="42"/>
      <c r="BS3" s="4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">
      <c r="A4" s="129"/>
      <c r="B4" s="18">
        <f>IF(Teams!B3&lt;&gt;"", Teams!B3,"")</f>
        <v>2</v>
      </c>
      <c r="C4" s="31" t="str">
        <f>IF(Teams!C3&lt;&gt;"", Teams!C3,"")</f>
        <v>Team 2</v>
      </c>
      <c r="D4" s="132"/>
      <c r="E4" s="114">
        <f>+$B4</f>
        <v>2</v>
      </c>
      <c r="F4" s="114"/>
      <c r="G4" s="4"/>
      <c r="H4" s="4"/>
      <c r="I4" s="4"/>
      <c r="J4" s="4"/>
      <c r="K4" s="108">
        <f>+$B4</f>
        <v>2</v>
      </c>
      <c r="L4" s="108"/>
      <c r="M4" s="4"/>
      <c r="N4" s="4"/>
      <c r="O4" s="4"/>
      <c r="P4" s="4"/>
      <c r="Q4" s="132"/>
      <c r="R4" s="112">
        <f t="shared" si="0"/>
        <v>2</v>
      </c>
      <c r="S4" s="112"/>
      <c r="T4" s="112"/>
      <c r="U4" s="4"/>
      <c r="V4" s="4"/>
      <c r="W4" s="4"/>
      <c r="X4" s="109">
        <f t="shared" si="1"/>
        <v>2</v>
      </c>
      <c r="Y4" s="110"/>
      <c r="Z4" s="111"/>
      <c r="AA4" s="4"/>
      <c r="AB4" s="7"/>
      <c r="AC4" s="7"/>
      <c r="AD4" s="132"/>
      <c r="AE4" s="113">
        <f>+$B4</f>
        <v>2</v>
      </c>
      <c r="AF4" s="113"/>
      <c r="AG4" s="113"/>
      <c r="AH4" s="4"/>
      <c r="AI4" s="4"/>
      <c r="AJ4" s="4"/>
      <c r="AK4" s="4"/>
      <c r="AL4" s="4"/>
      <c r="AM4" s="4"/>
      <c r="AN4" s="4"/>
      <c r="AO4" s="7"/>
      <c r="AP4" s="7"/>
      <c r="AQ4" s="142"/>
      <c r="AR4" s="139">
        <f t="shared" si="2"/>
        <v>2</v>
      </c>
      <c r="AS4" s="140"/>
      <c r="AT4" s="4"/>
      <c r="AU4" s="4"/>
      <c r="AV4" s="4"/>
      <c r="AW4" s="4"/>
      <c r="AX4" s="4"/>
      <c r="AY4" s="4"/>
      <c r="AZ4" s="4"/>
      <c r="BA4" s="4"/>
      <c r="BB4" s="4"/>
      <c r="BC4" s="4"/>
      <c r="BD4" s="132"/>
      <c r="BE4" s="7"/>
      <c r="BF4" s="7"/>
      <c r="BG4" s="124">
        <f t="shared" ref="BG4" si="4">+$B4</f>
        <v>2</v>
      </c>
      <c r="BH4" s="125"/>
      <c r="BI4" s="7"/>
      <c r="BJ4" s="7"/>
      <c r="BK4" s="7"/>
      <c r="BL4" s="7"/>
      <c r="BM4" s="7"/>
      <c r="BN4" s="7"/>
      <c r="BO4" s="7"/>
      <c r="BP4" s="7"/>
      <c r="BQ4" s="122"/>
      <c r="BR4" s="42"/>
      <c r="BS4" s="4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">
      <c r="A5" s="129"/>
      <c r="B5" s="52">
        <f>IF(Teams!B4&lt;&gt;"", Teams!B4,"")</f>
        <v>3</v>
      </c>
      <c r="C5" s="53" t="str">
        <f>IF(Teams!C4&lt;&gt;"", Teams!C4,"")</f>
        <v>Team 3</v>
      </c>
      <c r="D5" s="132"/>
      <c r="E5" s="115">
        <f>+$B5</f>
        <v>3</v>
      </c>
      <c r="F5" s="115"/>
      <c r="G5" s="48"/>
      <c r="H5" s="48"/>
      <c r="I5" s="48"/>
      <c r="J5" s="48"/>
      <c r="K5" s="115">
        <f>+$B5</f>
        <v>3</v>
      </c>
      <c r="L5" s="115"/>
      <c r="M5" s="48"/>
      <c r="N5" s="48"/>
      <c r="O5" s="48"/>
      <c r="P5" s="48"/>
      <c r="Q5" s="132"/>
      <c r="R5" s="112">
        <f t="shared" si="0"/>
        <v>3</v>
      </c>
      <c r="S5" s="112"/>
      <c r="T5" s="112"/>
      <c r="U5" s="44"/>
      <c r="V5" s="44"/>
      <c r="W5" s="44"/>
      <c r="X5" s="109">
        <f t="shared" si="1"/>
        <v>3</v>
      </c>
      <c r="Y5" s="110"/>
      <c r="Z5" s="111"/>
      <c r="AA5" s="44"/>
      <c r="AB5" s="44"/>
      <c r="AC5" s="44"/>
      <c r="AD5" s="132"/>
      <c r="AE5" s="113">
        <f>+$B5</f>
        <v>3</v>
      </c>
      <c r="AF5" s="113"/>
      <c r="AG5" s="113"/>
      <c r="AH5" s="48"/>
      <c r="AI5" s="48"/>
      <c r="AJ5" s="48"/>
      <c r="AK5" s="48"/>
      <c r="AL5" s="48"/>
      <c r="AM5" s="48"/>
      <c r="AN5" s="48"/>
      <c r="AO5" s="48"/>
      <c r="AP5" s="48"/>
      <c r="AQ5" s="142"/>
      <c r="AR5" s="126">
        <f t="shared" si="2"/>
        <v>3</v>
      </c>
      <c r="AS5" s="127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132"/>
      <c r="BE5" s="124">
        <f t="shared" ref="BE5" si="5">+$B5</f>
        <v>3</v>
      </c>
      <c r="BF5" s="125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122"/>
      <c r="BR5" s="42"/>
      <c r="BS5" s="4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">
      <c r="A6" s="129"/>
      <c r="B6" s="18">
        <f>IF(Teams!B5&lt;&gt;"", Teams!B5,"")</f>
        <v>4</v>
      </c>
      <c r="C6" s="31" t="str">
        <f>IF(Teams!C5&lt;&gt;"", Teams!C5,"")</f>
        <v>Team 4</v>
      </c>
      <c r="D6" s="132"/>
      <c r="E6" s="115">
        <f>+$B6</f>
        <v>4</v>
      </c>
      <c r="F6" s="115"/>
      <c r="G6" s="4"/>
      <c r="H6" s="4"/>
      <c r="I6" s="4"/>
      <c r="J6" s="4"/>
      <c r="K6" s="108">
        <f>+$B6</f>
        <v>4</v>
      </c>
      <c r="L6" s="108"/>
      <c r="M6" s="4"/>
      <c r="N6" s="4"/>
      <c r="O6" s="4"/>
      <c r="P6" s="4"/>
      <c r="Q6" s="132"/>
      <c r="R6" s="109">
        <f t="shared" si="0"/>
        <v>4</v>
      </c>
      <c r="S6" s="110"/>
      <c r="T6" s="111"/>
      <c r="U6" s="4"/>
      <c r="V6" s="4"/>
      <c r="W6" s="4"/>
      <c r="X6" s="112">
        <f t="shared" si="1"/>
        <v>4</v>
      </c>
      <c r="Y6" s="112"/>
      <c r="Z6" s="112"/>
      <c r="AA6" s="4"/>
      <c r="AB6" s="7"/>
      <c r="AC6" s="7"/>
      <c r="AD6" s="132"/>
      <c r="AE6" s="4"/>
      <c r="AF6" s="4"/>
      <c r="AG6" s="4"/>
      <c r="AH6" s="113">
        <f>+$B6</f>
        <v>4</v>
      </c>
      <c r="AI6" s="113"/>
      <c r="AJ6" s="113"/>
      <c r="AK6" s="4"/>
      <c r="AL6" s="4"/>
      <c r="AM6" s="4"/>
      <c r="AN6" s="4"/>
      <c r="AO6" s="4"/>
      <c r="AP6" s="4"/>
      <c r="AQ6" s="142"/>
      <c r="AR6" s="124">
        <f t="shared" ref="AR6:AR8" si="6">+$B6</f>
        <v>4</v>
      </c>
      <c r="AS6" s="125"/>
      <c r="AT6" s="4"/>
      <c r="AU6" s="4"/>
      <c r="AV6" s="4"/>
      <c r="AW6" s="4"/>
      <c r="AX6" s="4"/>
      <c r="AY6" s="4"/>
      <c r="AZ6" s="4"/>
      <c r="BA6" s="4"/>
      <c r="BB6" s="4"/>
      <c r="BC6" s="4"/>
      <c r="BD6" s="132"/>
      <c r="BE6" s="7"/>
      <c r="BF6" s="7"/>
      <c r="BG6" s="126">
        <f t="shared" ref="BG6" si="7">+$B6</f>
        <v>4</v>
      </c>
      <c r="BH6" s="127"/>
      <c r="BI6" s="7"/>
      <c r="BJ6" s="7"/>
      <c r="BK6" s="7"/>
      <c r="BL6" s="7"/>
      <c r="BM6" s="7"/>
      <c r="BN6" s="7"/>
      <c r="BO6" s="7"/>
      <c r="BP6" s="7"/>
      <c r="BQ6" s="122"/>
      <c r="BR6" s="42"/>
      <c r="BS6" s="4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">
      <c r="A7" s="129"/>
      <c r="B7" s="52">
        <f>IF(Teams!B6&lt;&gt;"", Teams!B6,"")</f>
        <v>5</v>
      </c>
      <c r="C7" s="53" t="str">
        <f>IF(Teams!C6&lt;&gt;"", Teams!C6,"")</f>
        <v>Team 5</v>
      </c>
      <c r="D7" s="132"/>
      <c r="E7" s="48"/>
      <c r="F7" s="48"/>
      <c r="G7" s="108">
        <f>+$B7</f>
        <v>5</v>
      </c>
      <c r="H7" s="108"/>
      <c r="I7" s="48"/>
      <c r="J7" s="48"/>
      <c r="K7" s="48"/>
      <c r="L7" s="48"/>
      <c r="M7" s="114">
        <f>+$B7</f>
        <v>5</v>
      </c>
      <c r="N7" s="114"/>
      <c r="O7" s="48"/>
      <c r="P7" s="48"/>
      <c r="Q7" s="132"/>
      <c r="R7" s="109">
        <f t="shared" si="0"/>
        <v>5</v>
      </c>
      <c r="S7" s="110"/>
      <c r="T7" s="111"/>
      <c r="U7" s="44"/>
      <c r="V7" s="44"/>
      <c r="W7" s="44"/>
      <c r="X7" s="112">
        <f t="shared" si="1"/>
        <v>5</v>
      </c>
      <c r="Y7" s="112"/>
      <c r="Z7" s="112"/>
      <c r="AA7" s="44"/>
      <c r="AB7" s="44"/>
      <c r="AC7" s="44"/>
      <c r="AD7" s="132"/>
      <c r="AE7" s="48"/>
      <c r="AF7" s="48"/>
      <c r="AG7" s="48"/>
      <c r="AH7" s="113">
        <f>+$B7</f>
        <v>5</v>
      </c>
      <c r="AI7" s="113"/>
      <c r="AJ7" s="113"/>
      <c r="AK7" s="48"/>
      <c r="AL7" s="48"/>
      <c r="AM7" s="48"/>
      <c r="AN7" s="48"/>
      <c r="AO7" s="48"/>
      <c r="AP7" s="48"/>
      <c r="AQ7" s="142"/>
      <c r="AR7" s="139">
        <f t="shared" si="6"/>
        <v>5</v>
      </c>
      <c r="AS7" s="140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132"/>
      <c r="BE7" s="126">
        <f t="shared" ref="BE7" si="8">+$B7</f>
        <v>5</v>
      </c>
      <c r="BF7" s="127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122"/>
      <c r="BR7" s="42"/>
      <c r="BS7" s="4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">
      <c r="A8" s="129"/>
      <c r="B8" s="18">
        <f>IF(Teams!B7&lt;&gt;"", Teams!B7,"")</f>
        <v>6</v>
      </c>
      <c r="C8" s="31" t="str">
        <f>IF(Teams!C7&lt;&gt;"", Teams!C7,"")</f>
        <v>Team 6</v>
      </c>
      <c r="D8" s="132"/>
      <c r="E8" s="4"/>
      <c r="F8" s="4"/>
      <c r="G8" s="108">
        <f>+$B8</f>
        <v>6</v>
      </c>
      <c r="H8" s="108"/>
      <c r="I8" s="4"/>
      <c r="J8" s="4"/>
      <c r="K8" s="7"/>
      <c r="L8" s="7"/>
      <c r="M8" s="138">
        <f>+$B8</f>
        <v>6</v>
      </c>
      <c r="N8" s="138"/>
      <c r="O8" s="7"/>
      <c r="P8" s="7"/>
      <c r="Q8" s="132"/>
      <c r="R8" s="109">
        <f t="shared" si="0"/>
        <v>6</v>
      </c>
      <c r="S8" s="110"/>
      <c r="T8" s="111"/>
      <c r="U8" s="4"/>
      <c r="V8" s="4"/>
      <c r="W8" s="4"/>
      <c r="X8" s="112">
        <f t="shared" si="1"/>
        <v>6</v>
      </c>
      <c r="Y8" s="112"/>
      <c r="Z8" s="112"/>
      <c r="AA8" s="4"/>
      <c r="AB8" s="4"/>
      <c r="AC8" s="4"/>
      <c r="AD8" s="132"/>
      <c r="AE8" s="4"/>
      <c r="AF8" s="4"/>
      <c r="AG8" s="4"/>
      <c r="AH8" s="113">
        <f>+$B8</f>
        <v>6</v>
      </c>
      <c r="AI8" s="113"/>
      <c r="AJ8" s="113"/>
      <c r="AK8" s="4"/>
      <c r="AL8" s="4"/>
      <c r="AM8" s="4"/>
      <c r="AN8" s="4"/>
      <c r="AO8" s="4"/>
      <c r="AP8" s="4"/>
      <c r="AQ8" s="142"/>
      <c r="AR8" s="126">
        <f t="shared" si="6"/>
        <v>6</v>
      </c>
      <c r="AS8" s="127"/>
      <c r="AT8" s="4"/>
      <c r="AU8" s="4"/>
      <c r="AV8" s="4"/>
      <c r="AW8" s="4"/>
      <c r="AX8" s="4"/>
      <c r="AY8" s="4"/>
      <c r="AZ8" s="4"/>
      <c r="BA8" s="4"/>
      <c r="BB8" s="4"/>
      <c r="BC8" s="4"/>
      <c r="BD8" s="132"/>
      <c r="BE8" s="7"/>
      <c r="BF8" s="7"/>
      <c r="BG8" s="139">
        <f t="shared" ref="BG8" si="9">+$B8</f>
        <v>6</v>
      </c>
      <c r="BH8" s="140"/>
      <c r="BI8" s="7"/>
      <c r="BJ8" s="7"/>
      <c r="BK8" s="7"/>
      <c r="BL8" s="7"/>
      <c r="BM8" s="7"/>
      <c r="BN8" s="7"/>
      <c r="BO8" s="7"/>
      <c r="BP8" s="7"/>
      <c r="BQ8" s="122"/>
      <c r="BR8" s="42"/>
      <c r="BS8" s="4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</row>
    <row r="9" spans="1:87" x14ac:dyDescent="0.2">
      <c r="A9" s="129"/>
      <c r="B9" s="52">
        <f>IF(Teams!B8&lt;&gt;"", Teams!B8,"")</f>
        <v>7</v>
      </c>
      <c r="C9" s="53" t="str">
        <f>IF(Teams!C8&lt;&gt;"", Teams!C8,"")</f>
        <v>Team 7</v>
      </c>
      <c r="D9" s="132"/>
      <c r="E9" s="48"/>
      <c r="F9" s="48"/>
      <c r="G9" s="114">
        <f>+$B9</f>
        <v>7</v>
      </c>
      <c r="H9" s="114"/>
      <c r="I9" s="48"/>
      <c r="J9" s="48"/>
      <c r="K9" s="49"/>
      <c r="L9" s="49"/>
      <c r="M9" s="114">
        <f>+$B9</f>
        <v>7</v>
      </c>
      <c r="N9" s="114"/>
      <c r="O9" s="48"/>
      <c r="P9" s="48"/>
      <c r="Q9" s="132"/>
      <c r="R9" s="44"/>
      <c r="S9" s="44"/>
      <c r="T9" s="44"/>
      <c r="U9" s="112">
        <f t="shared" ref="U9:U14" si="10">+$B9</f>
        <v>7</v>
      </c>
      <c r="V9" s="112"/>
      <c r="W9" s="112"/>
      <c r="X9" s="44"/>
      <c r="Y9" s="44"/>
      <c r="Z9" s="44"/>
      <c r="AA9" s="109">
        <f t="shared" ref="AA9:AA14" si="11">+$B9</f>
        <v>7</v>
      </c>
      <c r="AB9" s="110"/>
      <c r="AC9" s="111"/>
      <c r="AD9" s="132"/>
      <c r="AE9" s="48"/>
      <c r="AF9" s="48"/>
      <c r="AG9" s="48"/>
      <c r="AH9" s="48"/>
      <c r="AI9" s="48"/>
      <c r="AJ9" s="48"/>
      <c r="AK9" s="113">
        <f>+$B9</f>
        <v>7</v>
      </c>
      <c r="AL9" s="113"/>
      <c r="AM9" s="113"/>
      <c r="AN9" s="48"/>
      <c r="AO9" s="48"/>
      <c r="AP9" s="48"/>
      <c r="AQ9" s="142"/>
      <c r="AR9" s="48"/>
      <c r="AS9" s="48"/>
      <c r="AT9" s="124">
        <f t="shared" ref="AT9:AT14" si="12">+$B9</f>
        <v>7</v>
      </c>
      <c r="AU9" s="125"/>
      <c r="AV9" s="48"/>
      <c r="AW9" s="48"/>
      <c r="AX9" s="48"/>
      <c r="AY9" s="48"/>
      <c r="AZ9" s="48"/>
      <c r="BA9" s="48"/>
      <c r="BB9" s="48"/>
      <c r="BC9" s="48"/>
      <c r="BD9" s="132"/>
      <c r="BE9" s="139">
        <f t="shared" ref="BE9" si="13">+$B9</f>
        <v>7</v>
      </c>
      <c r="BF9" s="140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122"/>
      <c r="BR9" s="42"/>
      <c r="BS9" s="4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</row>
    <row r="10" spans="1:87" x14ac:dyDescent="0.2">
      <c r="A10" s="129"/>
      <c r="B10" s="50">
        <f>IF(Teams!B9&lt;&gt;"", Teams!B9,"")</f>
        <v>8</v>
      </c>
      <c r="C10" s="51" t="str">
        <f>IF(Teams!C9&lt;&gt;"", Teams!C9,"")</f>
        <v>Team 8</v>
      </c>
      <c r="D10" s="132"/>
      <c r="E10" s="4"/>
      <c r="F10" s="4"/>
      <c r="G10" s="114">
        <f>+$B10</f>
        <v>8</v>
      </c>
      <c r="H10" s="114"/>
      <c r="I10" s="4"/>
      <c r="J10" s="4"/>
      <c r="K10" s="4"/>
      <c r="L10" s="4"/>
      <c r="M10" s="138">
        <f>+$B10</f>
        <v>8</v>
      </c>
      <c r="N10" s="138"/>
      <c r="O10" s="4"/>
      <c r="P10" s="4"/>
      <c r="Q10" s="132"/>
      <c r="R10" s="4"/>
      <c r="S10" s="4"/>
      <c r="T10" s="4"/>
      <c r="U10" s="112">
        <f t="shared" si="10"/>
        <v>8</v>
      </c>
      <c r="V10" s="112"/>
      <c r="W10" s="112"/>
      <c r="X10" s="4"/>
      <c r="Y10" s="4"/>
      <c r="Z10" s="4"/>
      <c r="AA10" s="109">
        <f t="shared" si="11"/>
        <v>8</v>
      </c>
      <c r="AB10" s="110"/>
      <c r="AC10" s="111"/>
      <c r="AD10" s="132"/>
      <c r="AE10" s="4"/>
      <c r="AF10" s="4"/>
      <c r="AG10" s="4"/>
      <c r="AH10" s="4"/>
      <c r="AI10" s="4"/>
      <c r="AJ10" s="4"/>
      <c r="AK10" s="113">
        <f>+$B10</f>
        <v>8</v>
      </c>
      <c r="AL10" s="113"/>
      <c r="AM10" s="113"/>
      <c r="AN10" s="4"/>
      <c r="AO10" s="4"/>
      <c r="AP10" s="4"/>
      <c r="AQ10" s="142"/>
      <c r="AR10" s="4"/>
      <c r="AS10" s="4"/>
      <c r="AT10" s="139">
        <f t="shared" si="12"/>
        <v>8</v>
      </c>
      <c r="AU10" s="140"/>
      <c r="AV10" s="4"/>
      <c r="AW10" s="4"/>
      <c r="AX10" s="4"/>
      <c r="AY10" s="4"/>
      <c r="AZ10" s="4"/>
      <c r="BA10" s="4"/>
      <c r="BB10" s="4"/>
      <c r="BC10" s="4"/>
      <c r="BD10" s="132"/>
      <c r="BE10" s="7"/>
      <c r="BF10" s="7"/>
      <c r="BG10" s="124">
        <f t="shared" ref="BG10" si="14">+$B10</f>
        <v>8</v>
      </c>
      <c r="BH10" s="125"/>
      <c r="BI10" s="7"/>
      <c r="BJ10" s="7"/>
      <c r="BK10" s="7"/>
      <c r="BL10" s="7"/>
      <c r="BM10" s="7"/>
      <c r="BN10" s="7"/>
      <c r="BO10" s="7"/>
      <c r="BP10" s="7"/>
      <c r="BQ10" s="122"/>
      <c r="BR10" s="65"/>
      <c r="BS10" s="65"/>
    </row>
    <row r="11" spans="1:87" x14ac:dyDescent="0.2">
      <c r="A11" s="129"/>
      <c r="B11" s="52">
        <f>IF(Teams!B10&lt;&gt;"", Teams!B10,"")</f>
        <v>9</v>
      </c>
      <c r="C11" s="53" t="str">
        <f>IF(Teams!C10&lt;&gt;"", Teams!C10,"")</f>
        <v>Team 9</v>
      </c>
      <c r="D11" s="132"/>
      <c r="E11" s="48"/>
      <c r="F11" s="48"/>
      <c r="G11" s="48"/>
      <c r="H11" s="48"/>
      <c r="I11" s="115">
        <f>+$B11</f>
        <v>9</v>
      </c>
      <c r="J11" s="115"/>
      <c r="K11" s="48"/>
      <c r="L11" s="48"/>
      <c r="M11" s="48"/>
      <c r="N11" s="48"/>
      <c r="O11" s="114">
        <f>+$B11</f>
        <v>9</v>
      </c>
      <c r="P11" s="114"/>
      <c r="Q11" s="132"/>
      <c r="R11" s="44"/>
      <c r="S11" s="44"/>
      <c r="T11" s="44"/>
      <c r="U11" s="112">
        <f t="shared" si="10"/>
        <v>9</v>
      </c>
      <c r="V11" s="112"/>
      <c r="W11" s="112"/>
      <c r="X11" s="44"/>
      <c r="Y11" s="44"/>
      <c r="Z11" s="44"/>
      <c r="AA11" s="109">
        <f t="shared" si="11"/>
        <v>9</v>
      </c>
      <c r="AB11" s="110"/>
      <c r="AC11" s="111"/>
      <c r="AD11" s="132"/>
      <c r="AE11" s="49"/>
      <c r="AF11" s="49"/>
      <c r="AG11" s="49"/>
      <c r="AH11" s="49"/>
      <c r="AI11" s="49"/>
      <c r="AJ11" s="49"/>
      <c r="AK11" s="113">
        <f>+$B11</f>
        <v>9</v>
      </c>
      <c r="AL11" s="113"/>
      <c r="AM11" s="113"/>
      <c r="AN11" s="49"/>
      <c r="AO11" s="48"/>
      <c r="AP11" s="48"/>
      <c r="AQ11" s="142"/>
      <c r="AR11" s="48"/>
      <c r="AS11" s="48"/>
      <c r="AT11" s="126">
        <f t="shared" si="12"/>
        <v>9</v>
      </c>
      <c r="AU11" s="127"/>
      <c r="AV11" s="48"/>
      <c r="AW11" s="48"/>
      <c r="AX11" s="48"/>
      <c r="AY11" s="48"/>
      <c r="AZ11" s="48"/>
      <c r="BA11" s="48"/>
      <c r="BB11" s="48"/>
      <c r="BC11" s="48"/>
      <c r="BD11" s="132"/>
      <c r="BE11" s="124">
        <f t="shared" ref="BE11" si="15">+$B11</f>
        <v>9</v>
      </c>
      <c r="BF11" s="125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122"/>
      <c r="BR11" s="65"/>
      <c r="BS11" s="65"/>
    </row>
    <row r="12" spans="1:87" x14ac:dyDescent="0.2">
      <c r="A12" s="129"/>
      <c r="B12" s="18">
        <f>IF(Teams!B11&lt;&gt;"", Teams!B11,"")</f>
        <v>10</v>
      </c>
      <c r="C12" s="31" t="str">
        <f>IF(Teams!C11&lt;&gt;"", Teams!C11,"")</f>
        <v>Team 10</v>
      </c>
      <c r="D12" s="132"/>
      <c r="E12" s="4"/>
      <c r="F12" s="4"/>
      <c r="G12" s="4"/>
      <c r="H12" s="4"/>
      <c r="I12" s="115">
        <f>+$B12</f>
        <v>10</v>
      </c>
      <c r="J12" s="115"/>
      <c r="K12" s="4"/>
      <c r="L12" s="4"/>
      <c r="M12" s="4"/>
      <c r="N12" s="4"/>
      <c r="O12" s="108">
        <f>+$B12</f>
        <v>10</v>
      </c>
      <c r="P12" s="108"/>
      <c r="Q12" s="132"/>
      <c r="R12" s="7"/>
      <c r="S12" s="7"/>
      <c r="T12" s="7"/>
      <c r="U12" s="109">
        <f t="shared" si="10"/>
        <v>10</v>
      </c>
      <c r="V12" s="110"/>
      <c r="W12" s="111"/>
      <c r="X12" s="7"/>
      <c r="Y12" s="7"/>
      <c r="Z12" s="7"/>
      <c r="AA12" s="112">
        <f t="shared" si="11"/>
        <v>10</v>
      </c>
      <c r="AB12" s="112"/>
      <c r="AC12" s="112"/>
      <c r="AD12" s="132"/>
      <c r="AE12" s="7"/>
      <c r="AF12" s="7"/>
      <c r="AG12" s="7"/>
      <c r="AH12" s="7"/>
      <c r="AI12" s="7"/>
      <c r="AJ12" s="7"/>
      <c r="AK12" s="5"/>
      <c r="AL12" s="5"/>
      <c r="AM12" s="5"/>
      <c r="AN12" s="113">
        <f t="shared" ref="AN12:AN13" si="16">+$B12</f>
        <v>10</v>
      </c>
      <c r="AO12" s="113"/>
      <c r="AP12" s="113"/>
      <c r="AQ12" s="142"/>
      <c r="AR12" s="4"/>
      <c r="AS12" s="4"/>
      <c r="AT12" s="124">
        <f t="shared" si="12"/>
        <v>10</v>
      </c>
      <c r="AU12" s="125"/>
      <c r="AV12" s="4"/>
      <c r="AW12" s="4"/>
      <c r="AX12" s="4"/>
      <c r="AY12" s="4"/>
      <c r="AZ12" s="4"/>
      <c r="BA12" s="4"/>
      <c r="BB12" s="4"/>
      <c r="BC12" s="4"/>
      <c r="BD12" s="132"/>
      <c r="BE12" s="7"/>
      <c r="BF12" s="7"/>
      <c r="BG12" s="126">
        <f t="shared" ref="BG12" si="17">+$B12</f>
        <v>10</v>
      </c>
      <c r="BH12" s="127"/>
      <c r="BI12" s="7"/>
      <c r="BJ12" s="7"/>
      <c r="BK12" s="7"/>
      <c r="BL12" s="7"/>
      <c r="BM12" s="7"/>
      <c r="BN12" s="7"/>
      <c r="BO12" s="7"/>
      <c r="BP12" s="7"/>
      <c r="BQ12" s="122"/>
      <c r="BR12" s="65"/>
      <c r="BS12" s="65"/>
    </row>
    <row r="13" spans="1:87" x14ac:dyDescent="0.2">
      <c r="A13" s="129"/>
      <c r="B13" s="52">
        <f>IF(Teams!B12&lt;&gt;"", Teams!B12,"")</f>
        <v>11</v>
      </c>
      <c r="C13" s="53" t="str">
        <f>IF(Teams!C12&lt;&gt;"", Teams!C12,"")</f>
        <v>Team 11</v>
      </c>
      <c r="D13" s="132"/>
      <c r="E13" s="48"/>
      <c r="F13" s="48"/>
      <c r="G13" s="48"/>
      <c r="H13" s="48"/>
      <c r="I13" s="108">
        <f>+$B13</f>
        <v>11</v>
      </c>
      <c r="J13" s="108"/>
      <c r="K13" s="48"/>
      <c r="L13" s="48"/>
      <c r="M13" s="48"/>
      <c r="N13" s="48"/>
      <c r="O13" s="114">
        <f>+$B13</f>
        <v>11</v>
      </c>
      <c r="P13" s="114"/>
      <c r="Q13" s="132"/>
      <c r="R13" s="44"/>
      <c r="S13" s="44"/>
      <c r="T13" s="44"/>
      <c r="U13" s="109">
        <f t="shared" si="10"/>
        <v>11</v>
      </c>
      <c r="V13" s="110"/>
      <c r="W13" s="111"/>
      <c r="X13" s="44"/>
      <c r="Y13" s="44"/>
      <c r="Z13" s="44"/>
      <c r="AA13" s="112">
        <f t="shared" si="11"/>
        <v>11</v>
      </c>
      <c r="AB13" s="112"/>
      <c r="AC13" s="112"/>
      <c r="AD13" s="132"/>
      <c r="AE13" s="49"/>
      <c r="AF13" s="49"/>
      <c r="AG13" s="49"/>
      <c r="AH13" s="49"/>
      <c r="AI13" s="49"/>
      <c r="AJ13" s="49"/>
      <c r="AK13" s="49"/>
      <c r="AL13" s="49"/>
      <c r="AM13" s="49"/>
      <c r="AN13" s="113">
        <f t="shared" si="16"/>
        <v>11</v>
      </c>
      <c r="AO13" s="113"/>
      <c r="AP13" s="113"/>
      <c r="AQ13" s="142"/>
      <c r="AR13" s="48"/>
      <c r="AS13" s="48"/>
      <c r="AT13" s="139">
        <f t="shared" si="12"/>
        <v>11</v>
      </c>
      <c r="AU13" s="140"/>
      <c r="AV13" s="48"/>
      <c r="AW13" s="48"/>
      <c r="AX13" s="48"/>
      <c r="AY13" s="48"/>
      <c r="AZ13" s="48"/>
      <c r="BA13" s="48"/>
      <c r="BB13" s="48"/>
      <c r="BC13" s="48"/>
      <c r="BD13" s="132"/>
      <c r="BE13" s="126">
        <f t="shared" ref="BE13" si="18">+$B13</f>
        <v>11</v>
      </c>
      <c r="BF13" s="127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122"/>
      <c r="BR13" s="65"/>
      <c r="BS13" s="65"/>
    </row>
    <row r="14" spans="1:87" x14ac:dyDescent="0.2">
      <c r="A14" s="129"/>
      <c r="B14" s="18">
        <f>IF(Teams!B13&lt;&gt;"", Teams!B13,"")</f>
        <v>12</v>
      </c>
      <c r="C14" s="31" t="str">
        <f>IF(Teams!C13&lt;&gt;"", Teams!C13,"")</f>
        <v>Team 12</v>
      </c>
      <c r="D14" s="132"/>
      <c r="E14" s="4"/>
      <c r="F14" s="4"/>
      <c r="G14" s="4"/>
      <c r="H14" s="4"/>
      <c r="I14" s="108">
        <f>+$B14</f>
        <v>12</v>
      </c>
      <c r="J14" s="108"/>
      <c r="K14" s="4"/>
      <c r="L14" s="4"/>
      <c r="M14" s="4"/>
      <c r="N14" s="4"/>
      <c r="O14" s="108">
        <f>+$B14</f>
        <v>12</v>
      </c>
      <c r="P14" s="108"/>
      <c r="Q14" s="132"/>
      <c r="R14" s="5"/>
      <c r="S14" s="5"/>
      <c r="T14" s="5"/>
      <c r="U14" s="109">
        <f t="shared" si="10"/>
        <v>12</v>
      </c>
      <c r="V14" s="110"/>
      <c r="W14" s="111"/>
      <c r="X14" s="7"/>
      <c r="Y14" s="7"/>
      <c r="Z14" s="7"/>
      <c r="AA14" s="112">
        <f t="shared" si="11"/>
        <v>12</v>
      </c>
      <c r="AB14" s="112"/>
      <c r="AC14" s="112"/>
      <c r="AD14" s="132"/>
      <c r="AE14" s="5"/>
      <c r="AF14" s="5"/>
      <c r="AG14" s="5"/>
      <c r="AH14" s="5"/>
      <c r="AI14" s="5"/>
      <c r="AJ14" s="5"/>
      <c r="AK14" s="5"/>
      <c r="AL14" s="5"/>
      <c r="AM14" s="5"/>
      <c r="AN14" s="113">
        <f>+$B14</f>
        <v>12</v>
      </c>
      <c r="AO14" s="113"/>
      <c r="AP14" s="113"/>
      <c r="AQ14" s="142"/>
      <c r="AR14" s="4"/>
      <c r="AS14" s="4"/>
      <c r="AT14" s="126">
        <f t="shared" si="12"/>
        <v>12</v>
      </c>
      <c r="AU14" s="127"/>
      <c r="AV14" s="4"/>
      <c r="AW14" s="4"/>
      <c r="AX14" s="4"/>
      <c r="AY14" s="4"/>
      <c r="AZ14" s="4"/>
      <c r="BA14" s="4"/>
      <c r="BB14" s="4"/>
      <c r="BC14" s="4"/>
      <c r="BD14" s="132"/>
      <c r="BE14" s="7"/>
      <c r="BF14" s="7"/>
      <c r="BG14" s="139">
        <f t="shared" ref="BG14" si="19">+$B14</f>
        <v>12</v>
      </c>
      <c r="BH14" s="140"/>
      <c r="BI14" s="7"/>
      <c r="BJ14" s="7"/>
      <c r="BK14" s="7"/>
      <c r="BL14" s="7"/>
      <c r="BM14" s="7"/>
      <c r="BN14" s="7"/>
      <c r="BO14" s="7"/>
      <c r="BP14" s="7"/>
      <c r="BQ14" s="122"/>
      <c r="BR14" s="65"/>
      <c r="BS14" s="65"/>
    </row>
    <row r="15" spans="1:87" ht="58.5" customHeight="1" x14ac:dyDescent="0.2">
      <c r="A15" s="81"/>
      <c r="B15" s="82"/>
      <c r="C15" s="82"/>
      <c r="D15" s="34" t="str">
        <f t="shared" ref="D15:AI15" si="20">D1</f>
        <v>8:30 AM</v>
      </c>
      <c r="E15" s="24" t="str">
        <f t="shared" si="20"/>
        <v>9:00 AM</v>
      </c>
      <c r="F15" s="24" t="str">
        <f t="shared" si="20"/>
        <v>9:05 AM</v>
      </c>
      <c r="G15" s="24" t="str">
        <f t="shared" si="20"/>
        <v>9:10 AM</v>
      </c>
      <c r="H15" s="24" t="str">
        <f t="shared" si="20"/>
        <v>9:15 AM</v>
      </c>
      <c r="I15" s="24" t="str">
        <f t="shared" si="20"/>
        <v>9:20 AM</v>
      </c>
      <c r="J15" s="24" t="str">
        <f t="shared" si="20"/>
        <v>9:25 AM</v>
      </c>
      <c r="K15" s="24" t="str">
        <f t="shared" si="20"/>
        <v>9:30 AM</v>
      </c>
      <c r="L15" s="24" t="str">
        <f t="shared" si="20"/>
        <v>9:35 AM</v>
      </c>
      <c r="M15" s="24" t="str">
        <f t="shared" si="20"/>
        <v>9:40 AM</v>
      </c>
      <c r="N15" s="24" t="str">
        <f t="shared" si="20"/>
        <v>9:45 AM</v>
      </c>
      <c r="O15" s="24" t="str">
        <f t="shared" si="20"/>
        <v>9:50 AM</v>
      </c>
      <c r="P15" s="24" t="str">
        <f t="shared" si="20"/>
        <v>9:55 AM</v>
      </c>
      <c r="Q15" s="34" t="str">
        <f t="shared" si="20"/>
        <v>10:00 AM</v>
      </c>
      <c r="R15" s="24" t="str">
        <f t="shared" si="20"/>
        <v>10:10 AM</v>
      </c>
      <c r="S15" s="24" t="str">
        <f t="shared" si="20"/>
        <v>10:15 AM</v>
      </c>
      <c r="T15" s="24" t="str">
        <f t="shared" si="20"/>
        <v>10:20 AM</v>
      </c>
      <c r="U15" s="24" t="str">
        <f t="shared" si="20"/>
        <v>10:25 AM</v>
      </c>
      <c r="V15" s="24" t="str">
        <f t="shared" si="20"/>
        <v>10:30 AM</v>
      </c>
      <c r="W15" s="24" t="str">
        <f t="shared" si="20"/>
        <v>10:35 AM</v>
      </c>
      <c r="X15" s="24" t="str">
        <f t="shared" si="20"/>
        <v>10:40 AM</v>
      </c>
      <c r="Y15" s="24" t="str">
        <f t="shared" si="20"/>
        <v>10:45 AM</v>
      </c>
      <c r="Z15" s="24" t="str">
        <f t="shared" si="20"/>
        <v>10:50 AM</v>
      </c>
      <c r="AA15" s="24" t="str">
        <f t="shared" si="20"/>
        <v>10:55 AM</v>
      </c>
      <c r="AB15" s="24" t="str">
        <f t="shared" si="20"/>
        <v>11:00 AM</v>
      </c>
      <c r="AC15" s="24" t="str">
        <f t="shared" si="20"/>
        <v>11:05 AM</v>
      </c>
      <c r="AD15" s="34" t="str">
        <f t="shared" si="20"/>
        <v>11:10 AM</v>
      </c>
      <c r="AE15" s="24" t="str">
        <f t="shared" si="20"/>
        <v>11:20 AM</v>
      </c>
      <c r="AF15" s="24" t="str">
        <f t="shared" si="20"/>
        <v>11:25 AM</v>
      </c>
      <c r="AG15" s="24" t="str">
        <f t="shared" si="20"/>
        <v>11:30 AM</v>
      </c>
      <c r="AH15" s="24" t="str">
        <f t="shared" si="20"/>
        <v>11:35 AM</v>
      </c>
      <c r="AI15" s="24" t="str">
        <f t="shared" si="20"/>
        <v>11:40 AM</v>
      </c>
      <c r="AJ15" s="24" t="str">
        <f t="shared" ref="AJ15:BQ15" si="21">AJ1</f>
        <v>11:45 AM</v>
      </c>
      <c r="AK15" s="24" t="str">
        <f t="shared" si="21"/>
        <v>11:50 AM</v>
      </c>
      <c r="AL15" s="24" t="str">
        <f t="shared" si="21"/>
        <v>11:55 AM</v>
      </c>
      <c r="AM15" s="24" t="str">
        <f t="shared" si="21"/>
        <v>12:00 PM</v>
      </c>
      <c r="AN15" s="24" t="str">
        <f t="shared" si="21"/>
        <v>12:05 PM</v>
      </c>
      <c r="AO15" s="24" t="str">
        <f t="shared" si="21"/>
        <v>12:10 PM</v>
      </c>
      <c r="AP15" s="24" t="str">
        <f t="shared" si="21"/>
        <v>12:15 PM</v>
      </c>
      <c r="AQ15" s="34" t="str">
        <f t="shared" si="21"/>
        <v>12:20 PM</v>
      </c>
      <c r="AR15" s="24" t="str">
        <f t="shared" si="21"/>
        <v>1:00 PM</v>
      </c>
      <c r="AS15" s="24" t="str">
        <f t="shared" si="21"/>
        <v>1:05 PM</v>
      </c>
      <c r="AT15" s="24" t="str">
        <f t="shared" si="21"/>
        <v>1:10 PM</v>
      </c>
      <c r="AU15" s="24" t="str">
        <f t="shared" si="21"/>
        <v>1:15 PM</v>
      </c>
      <c r="AV15" s="24" t="str">
        <f t="shared" si="21"/>
        <v>1:20 PM</v>
      </c>
      <c r="AW15" s="24" t="str">
        <f t="shared" si="21"/>
        <v>1:25 PM</v>
      </c>
      <c r="AX15" s="24" t="str">
        <f t="shared" si="21"/>
        <v>1:30 PM</v>
      </c>
      <c r="AY15" s="24" t="str">
        <f t="shared" si="21"/>
        <v>1:35 PM</v>
      </c>
      <c r="AZ15" s="24" t="str">
        <f t="shared" si="21"/>
        <v>1:40 PM</v>
      </c>
      <c r="BA15" s="24" t="str">
        <f t="shared" si="21"/>
        <v>1:45 PM</v>
      </c>
      <c r="BB15" s="24" t="str">
        <f t="shared" si="21"/>
        <v>1:50 PM</v>
      </c>
      <c r="BC15" s="24" t="str">
        <f t="shared" si="21"/>
        <v>1:55 PM</v>
      </c>
      <c r="BD15" s="34" t="str">
        <f t="shared" si="21"/>
        <v>2:00 PM</v>
      </c>
      <c r="BE15" s="24" t="str">
        <f t="shared" si="21"/>
        <v>2:10 PM</v>
      </c>
      <c r="BF15" s="24" t="str">
        <f t="shared" si="21"/>
        <v>2:15 PM</v>
      </c>
      <c r="BG15" s="24" t="str">
        <f t="shared" si="21"/>
        <v>2:20 PM</v>
      </c>
      <c r="BH15" s="24" t="str">
        <f t="shared" si="21"/>
        <v>2:25 PM</v>
      </c>
      <c r="BI15" s="24" t="str">
        <f t="shared" si="21"/>
        <v>2:30 PM</v>
      </c>
      <c r="BJ15" s="24" t="str">
        <f t="shared" si="21"/>
        <v>2:35 PM</v>
      </c>
      <c r="BK15" s="24" t="str">
        <f t="shared" si="21"/>
        <v>2:40 PM</v>
      </c>
      <c r="BL15" s="24" t="str">
        <f t="shared" si="21"/>
        <v>2:45 PM</v>
      </c>
      <c r="BM15" s="24" t="str">
        <f t="shared" si="21"/>
        <v>2:50 PM</v>
      </c>
      <c r="BN15" s="24" t="str">
        <f t="shared" si="21"/>
        <v>2:55 PM</v>
      </c>
      <c r="BO15" s="24" t="str">
        <f t="shared" si="21"/>
        <v>3:00 PM</v>
      </c>
      <c r="BP15" s="24" t="str">
        <f t="shared" si="21"/>
        <v>3:05 PM</v>
      </c>
      <c r="BQ15" s="83" t="str">
        <f t="shared" si="21"/>
        <v>3:30 PM</v>
      </c>
      <c r="BR15" s="42"/>
      <c r="BS15" s="65"/>
    </row>
    <row r="16" spans="1:87" ht="12.75" customHeight="1" x14ac:dyDescent="0.2">
      <c r="A16" s="128"/>
      <c r="B16" s="3" t="s">
        <v>0</v>
      </c>
      <c r="C16" s="3" t="s">
        <v>1</v>
      </c>
      <c r="D16" s="131" t="s">
        <v>2</v>
      </c>
      <c r="E16" s="135" t="s">
        <v>5</v>
      </c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7"/>
      <c r="Q16" s="131" t="s">
        <v>3</v>
      </c>
      <c r="R16" s="135" t="s">
        <v>6</v>
      </c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7"/>
      <c r="AD16" s="131" t="s">
        <v>3</v>
      </c>
      <c r="AE16" s="135" t="s">
        <v>7</v>
      </c>
      <c r="AF16" s="136"/>
      <c r="AG16" s="136"/>
      <c r="AH16" s="136"/>
      <c r="AI16" s="136"/>
      <c r="AJ16" s="136"/>
      <c r="AK16" s="136"/>
      <c r="AL16" s="136"/>
      <c r="AM16" s="136"/>
      <c r="AN16" s="136"/>
      <c r="AO16" s="136"/>
      <c r="AP16" s="137"/>
      <c r="AQ16" s="141" t="s">
        <v>27</v>
      </c>
      <c r="AR16" s="135" t="s">
        <v>8</v>
      </c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6"/>
      <c r="BF16" s="136"/>
      <c r="BG16" s="136"/>
      <c r="BH16" s="136"/>
      <c r="BI16" s="136"/>
      <c r="BJ16" s="136"/>
      <c r="BK16" s="136"/>
      <c r="BL16" s="136"/>
      <c r="BM16" s="136"/>
      <c r="BN16" s="136"/>
      <c r="BO16" s="136"/>
      <c r="BP16" s="137"/>
      <c r="BQ16" s="121" t="s">
        <v>4</v>
      </c>
      <c r="BR16" s="42"/>
      <c r="BS16" s="65"/>
    </row>
    <row r="17" spans="1:71" x14ac:dyDescent="0.2">
      <c r="A17" s="129"/>
      <c r="B17" s="52">
        <f>IF(Teams!B14&lt;&gt;"", Teams!B14,"")</f>
        <v>13</v>
      </c>
      <c r="C17" s="53" t="str">
        <f>IF(Teams!C14&lt;&gt;"", Teams!C14,"")</f>
        <v>Team 13</v>
      </c>
      <c r="D17" s="132"/>
      <c r="E17" s="113">
        <f>+$B17</f>
        <v>13</v>
      </c>
      <c r="F17" s="113"/>
      <c r="G17" s="113"/>
      <c r="H17" s="48"/>
      <c r="I17" s="48"/>
      <c r="J17" s="48"/>
      <c r="K17" s="48"/>
      <c r="L17" s="48"/>
      <c r="M17" s="48"/>
      <c r="N17" s="48"/>
      <c r="O17" s="48"/>
      <c r="P17" s="48"/>
      <c r="Q17" s="132"/>
      <c r="R17" s="114">
        <f>+$B17</f>
        <v>13</v>
      </c>
      <c r="S17" s="114"/>
      <c r="T17" s="48"/>
      <c r="U17" s="48"/>
      <c r="V17" s="48"/>
      <c r="W17" s="48"/>
      <c r="X17" s="115">
        <f>+$B17</f>
        <v>13</v>
      </c>
      <c r="Y17" s="115"/>
      <c r="Z17" s="48"/>
      <c r="AA17" s="48"/>
      <c r="AB17" s="48"/>
      <c r="AC17" s="48"/>
      <c r="AD17" s="132"/>
      <c r="AE17" s="112">
        <f t="shared" ref="AE17:AE22" si="22">+$B17</f>
        <v>13</v>
      </c>
      <c r="AF17" s="112"/>
      <c r="AG17" s="112"/>
      <c r="AH17" s="44"/>
      <c r="AI17" s="44"/>
      <c r="AJ17" s="44"/>
      <c r="AK17" s="109">
        <f t="shared" ref="AK17:AK22" si="23">+$B17</f>
        <v>13</v>
      </c>
      <c r="AL17" s="110"/>
      <c r="AM17" s="111"/>
      <c r="AN17" s="44"/>
      <c r="AO17" s="44"/>
      <c r="AP17" s="44"/>
      <c r="AQ17" s="132"/>
      <c r="AR17" s="49"/>
      <c r="AS17" s="49"/>
      <c r="AT17" s="49"/>
      <c r="AU17" s="49"/>
      <c r="AV17" s="124">
        <f t="shared" ref="AV17:AV22" si="24">+$B17</f>
        <v>13</v>
      </c>
      <c r="AW17" s="125"/>
      <c r="AX17" s="48"/>
      <c r="AY17" s="48"/>
      <c r="AZ17" s="49"/>
      <c r="BA17" s="49"/>
      <c r="BB17" s="49"/>
      <c r="BC17" s="49"/>
      <c r="BD17" s="131" t="s">
        <v>3</v>
      </c>
      <c r="BE17" s="49"/>
      <c r="BF17" s="49"/>
      <c r="BG17" s="49"/>
      <c r="BH17" s="49"/>
      <c r="BI17" s="139">
        <f t="shared" ref="BI17" si="25">+$B17</f>
        <v>13</v>
      </c>
      <c r="BJ17" s="140"/>
      <c r="BK17" s="49"/>
      <c r="BL17" s="49"/>
      <c r="BM17" s="49"/>
      <c r="BN17" s="49"/>
      <c r="BO17" s="49"/>
      <c r="BP17" s="49"/>
      <c r="BQ17" s="122"/>
      <c r="BR17" s="42"/>
      <c r="BS17" s="65"/>
    </row>
    <row r="18" spans="1:71" x14ac:dyDescent="0.2">
      <c r="A18" s="129"/>
      <c r="B18" s="18">
        <f>IF(Teams!B15&lt;&gt;"", Teams!B15,"")</f>
        <v>14</v>
      </c>
      <c r="C18" s="31" t="str">
        <f>IF(Teams!C15&lt;&gt;"", Teams!C15,"")</f>
        <v>Team 14</v>
      </c>
      <c r="D18" s="132"/>
      <c r="E18" s="113">
        <f>+$B18</f>
        <v>14</v>
      </c>
      <c r="F18" s="113"/>
      <c r="G18" s="113"/>
      <c r="H18" s="4"/>
      <c r="I18" s="4"/>
      <c r="J18" s="4"/>
      <c r="K18" s="4"/>
      <c r="L18" s="4"/>
      <c r="M18" s="4"/>
      <c r="N18" s="4"/>
      <c r="O18" s="7"/>
      <c r="P18" s="7"/>
      <c r="Q18" s="132"/>
      <c r="R18" s="114">
        <f>+$B18</f>
        <v>14</v>
      </c>
      <c r="S18" s="114"/>
      <c r="T18" s="4"/>
      <c r="U18" s="4"/>
      <c r="V18" s="4"/>
      <c r="W18" s="4"/>
      <c r="X18" s="108">
        <f>+$B18</f>
        <v>14</v>
      </c>
      <c r="Y18" s="108"/>
      <c r="Z18" s="4"/>
      <c r="AA18" s="4"/>
      <c r="AB18" s="4"/>
      <c r="AC18" s="4"/>
      <c r="AD18" s="132"/>
      <c r="AE18" s="112">
        <f t="shared" si="22"/>
        <v>14</v>
      </c>
      <c r="AF18" s="112"/>
      <c r="AG18" s="112"/>
      <c r="AH18" s="4"/>
      <c r="AI18" s="4"/>
      <c r="AJ18" s="4"/>
      <c r="AK18" s="109">
        <f t="shared" si="23"/>
        <v>14</v>
      </c>
      <c r="AL18" s="110"/>
      <c r="AM18" s="111"/>
      <c r="AN18" s="4"/>
      <c r="AO18" s="7"/>
      <c r="AP18" s="7"/>
      <c r="AQ18" s="132"/>
      <c r="AR18" s="7"/>
      <c r="AS18" s="7"/>
      <c r="AT18" s="7"/>
      <c r="AU18" s="7"/>
      <c r="AV18" s="139">
        <f t="shared" si="24"/>
        <v>14</v>
      </c>
      <c r="AW18" s="140"/>
      <c r="AX18" s="4"/>
      <c r="AY18" s="4"/>
      <c r="AZ18" s="7"/>
      <c r="BA18" s="7"/>
      <c r="BB18" s="7"/>
      <c r="BC18" s="7"/>
      <c r="BD18" s="132"/>
      <c r="BE18" s="7"/>
      <c r="BF18" s="7"/>
      <c r="BG18" s="7"/>
      <c r="BH18" s="7"/>
      <c r="BI18" s="7"/>
      <c r="BJ18" s="7"/>
      <c r="BK18" s="124">
        <f t="shared" ref="BK18" si="26">+$B18</f>
        <v>14</v>
      </c>
      <c r="BL18" s="125"/>
      <c r="BM18" s="7"/>
      <c r="BN18" s="7"/>
      <c r="BO18" s="7"/>
      <c r="BP18" s="7"/>
      <c r="BQ18" s="122"/>
      <c r="BR18" s="42"/>
      <c r="BS18" s="65"/>
    </row>
    <row r="19" spans="1:71" x14ac:dyDescent="0.2">
      <c r="A19" s="129"/>
      <c r="B19" s="52">
        <f>IF(Teams!B16&lt;&gt;"", Teams!B16,"")</f>
        <v>15</v>
      </c>
      <c r="C19" s="53" t="str">
        <f>IF(Teams!C16&lt;&gt;"", Teams!C16,"")</f>
        <v>Team 15</v>
      </c>
      <c r="D19" s="132"/>
      <c r="E19" s="113">
        <f>+$B19</f>
        <v>15</v>
      </c>
      <c r="F19" s="113"/>
      <c r="G19" s="113"/>
      <c r="H19" s="48"/>
      <c r="I19" s="48"/>
      <c r="J19" s="48"/>
      <c r="K19" s="48"/>
      <c r="L19" s="48"/>
      <c r="M19" s="48"/>
      <c r="N19" s="48"/>
      <c r="O19" s="48"/>
      <c r="P19" s="48"/>
      <c r="Q19" s="132"/>
      <c r="R19" s="115">
        <f>+$B19</f>
        <v>15</v>
      </c>
      <c r="S19" s="115"/>
      <c r="T19" s="48"/>
      <c r="U19" s="48"/>
      <c r="V19" s="48"/>
      <c r="W19" s="48"/>
      <c r="X19" s="115">
        <f>+$B19</f>
        <v>15</v>
      </c>
      <c r="Y19" s="115"/>
      <c r="Z19" s="48"/>
      <c r="AA19" s="48"/>
      <c r="AB19" s="48"/>
      <c r="AC19" s="48"/>
      <c r="AD19" s="132"/>
      <c r="AE19" s="112">
        <f t="shared" si="22"/>
        <v>15</v>
      </c>
      <c r="AF19" s="112"/>
      <c r="AG19" s="112"/>
      <c r="AH19" s="44"/>
      <c r="AI19" s="44"/>
      <c r="AJ19" s="44"/>
      <c r="AK19" s="109">
        <f t="shared" si="23"/>
        <v>15</v>
      </c>
      <c r="AL19" s="110"/>
      <c r="AM19" s="111"/>
      <c r="AN19" s="44"/>
      <c r="AO19" s="44"/>
      <c r="AP19" s="44"/>
      <c r="AQ19" s="132"/>
      <c r="AR19" s="49"/>
      <c r="AS19" s="49"/>
      <c r="AT19" s="49"/>
      <c r="AU19" s="49"/>
      <c r="AV19" s="126">
        <f t="shared" si="24"/>
        <v>15</v>
      </c>
      <c r="AW19" s="127"/>
      <c r="AX19" s="48"/>
      <c r="AY19" s="48"/>
      <c r="AZ19" s="49"/>
      <c r="BA19" s="49"/>
      <c r="BB19" s="49"/>
      <c r="BC19" s="49"/>
      <c r="BD19" s="132"/>
      <c r="BE19" s="49"/>
      <c r="BF19" s="49"/>
      <c r="BG19" s="49"/>
      <c r="BH19" s="49"/>
      <c r="BI19" s="124">
        <f t="shared" ref="BI19" si="27">+$B19</f>
        <v>15</v>
      </c>
      <c r="BJ19" s="125"/>
      <c r="BK19" s="49"/>
      <c r="BL19" s="49"/>
      <c r="BM19" s="49"/>
      <c r="BN19" s="49"/>
      <c r="BO19" s="49"/>
      <c r="BP19" s="49"/>
      <c r="BQ19" s="122"/>
      <c r="BR19" s="42"/>
      <c r="BS19" s="65"/>
    </row>
    <row r="20" spans="1:71" x14ac:dyDescent="0.2">
      <c r="A20" s="129"/>
      <c r="B20" s="18">
        <f>IF(Teams!B17&lt;&gt;"", Teams!B17,"")</f>
        <v>16</v>
      </c>
      <c r="C20" s="31" t="str">
        <f>IF(Teams!C17&lt;&gt;"", Teams!C17,"")</f>
        <v>Team 16</v>
      </c>
      <c r="D20" s="132"/>
      <c r="E20" s="4"/>
      <c r="F20" s="4"/>
      <c r="G20" s="4"/>
      <c r="H20" s="113">
        <f>+$B20</f>
        <v>16</v>
      </c>
      <c r="I20" s="113"/>
      <c r="J20" s="113"/>
      <c r="K20" s="4"/>
      <c r="L20" s="4"/>
      <c r="M20" s="4"/>
      <c r="N20" s="4"/>
      <c r="O20" s="4"/>
      <c r="P20" s="4"/>
      <c r="Q20" s="132"/>
      <c r="R20" s="115">
        <f>+$B20</f>
        <v>16</v>
      </c>
      <c r="S20" s="115"/>
      <c r="T20" s="4"/>
      <c r="U20" s="4"/>
      <c r="V20" s="4"/>
      <c r="W20" s="4"/>
      <c r="X20" s="108">
        <f>+$B20</f>
        <v>16</v>
      </c>
      <c r="Y20" s="108"/>
      <c r="Z20" s="4"/>
      <c r="AA20" s="4"/>
      <c r="AB20" s="4"/>
      <c r="AC20" s="4"/>
      <c r="AD20" s="132"/>
      <c r="AE20" s="109">
        <f t="shared" si="22"/>
        <v>16</v>
      </c>
      <c r="AF20" s="110"/>
      <c r="AG20" s="111"/>
      <c r="AH20" s="4"/>
      <c r="AI20" s="4"/>
      <c r="AJ20" s="4"/>
      <c r="AK20" s="112">
        <f t="shared" si="23"/>
        <v>16</v>
      </c>
      <c r="AL20" s="112"/>
      <c r="AM20" s="112"/>
      <c r="AN20" s="4"/>
      <c r="AO20" s="7"/>
      <c r="AP20" s="7"/>
      <c r="AQ20" s="132"/>
      <c r="AR20" s="7"/>
      <c r="AS20" s="7"/>
      <c r="AT20" s="7"/>
      <c r="AU20" s="7"/>
      <c r="AV20" s="124">
        <f t="shared" si="24"/>
        <v>16</v>
      </c>
      <c r="AW20" s="125"/>
      <c r="AX20" s="4"/>
      <c r="AY20" s="4"/>
      <c r="AZ20" s="7"/>
      <c r="BA20" s="7"/>
      <c r="BB20" s="7"/>
      <c r="BC20" s="7"/>
      <c r="BD20" s="132"/>
      <c r="BE20" s="7"/>
      <c r="BF20" s="7"/>
      <c r="BG20" s="7"/>
      <c r="BH20" s="7"/>
      <c r="BI20" s="7"/>
      <c r="BJ20" s="7"/>
      <c r="BK20" s="126">
        <f t="shared" ref="BK20" si="28">+$B20</f>
        <v>16</v>
      </c>
      <c r="BL20" s="127"/>
      <c r="BM20" s="7"/>
      <c r="BN20" s="7"/>
      <c r="BO20" s="7"/>
      <c r="BP20" s="7"/>
      <c r="BQ20" s="122"/>
      <c r="BR20" s="42"/>
      <c r="BS20" s="65"/>
    </row>
    <row r="21" spans="1:71" x14ac:dyDescent="0.2">
      <c r="A21" s="129"/>
      <c r="B21" s="52">
        <f>IF(Teams!B18&lt;&gt;"", Teams!B18,"")</f>
        <v>17</v>
      </c>
      <c r="C21" s="53" t="str">
        <f>IF(Teams!C18&lt;&gt;"", Teams!C18,"")</f>
        <v>Team 17</v>
      </c>
      <c r="D21" s="132"/>
      <c r="E21" s="48"/>
      <c r="F21" s="48"/>
      <c r="G21" s="48"/>
      <c r="H21" s="113">
        <f>+$B21</f>
        <v>17</v>
      </c>
      <c r="I21" s="113"/>
      <c r="J21" s="113"/>
      <c r="K21" s="48"/>
      <c r="L21" s="48"/>
      <c r="M21" s="48"/>
      <c r="N21" s="48"/>
      <c r="O21" s="48"/>
      <c r="P21" s="48"/>
      <c r="Q21" s="132"/>
      <c r="R21" s="48"/>
      <c r="S21" s="48"/>
      <c r="T21" s="108">
        <f>+$B21</f>
        <v>17</v>
      </c>
      <c r="U21" s="108"/>
      <c r="V21" s="48"/>
      <c r="W21" s="48"/>
      <c r="X21" s="48"/>
      <c r="Y21" s="48"/>
      <c r="Z21" s="114">
        <f>+$B21</f>
        <v>17</v>
      </c>
      <c r="AA21" s="114"/>
      <c r="AB21" s="48"/>
      <c r="AC21" s="48"/>
      <c r="AD21" s="132"/>
      <c r="AE21" s="109">
        <f t="shared" si="22"/>
        <v>17</v>
      </c>
      <c r="AF21" s="110"/>
      <c r="AG21" s="111"/>
      <c r="AH21" s="44"/>
      <c r="AI21" s="44"/>
      <c r="AJ21" s="44"/>
      <c r="AK21" s="112">
        <f t="shared" si="23"/>
        <v>17</v>
      </c>
      <c r="AL21" s="112"/>
      <c r="AM21" s="112"/>
      <c r="AN21" s="44"/>
      <c r="AO21" s="44"/>
      <c r="AP21" s="44"/>
      <c r="AQ21" s="132"/>
      <c r="AR21" s="49"/>
      <c r="AS21" s="49"/>
      <c r="AT21" s="49"/>
      <c r="AU21" s="49"/>
      <c r="AV21" s="139">
        <f t="shared" si="24"/>
        <v>17</v>
      </c>
      <c r="AW21" s="140"/>
      <c r="AX21" s="48"/>
      <c r="AY21" s="48"/>
      <c r="AZ21" s="49"/>
      <c r="BA21" s="49"/>
      <c r="BB21" s="49"/>
      <c r="BC21" s="49"/>
      <c r="BD21" s="132"/>
      <c r="BE21" s="49"/>
      <c r="BF21" s="49"/>
      <c r="BG21" s="49"/>
      <c r="BH21" s="49"/>
      <c r="BI21" s="126">
        <f t="shared" ref="BI21" si="29">+$B21</f>
        <v>17</v>
      </c>
      <c r="BJ21" s="127"/>
      <c r="BK21" s="49"/>
      <c r="BL21" s="49"/>
      <c r="BM21" s="49"/>
      <c r="BN21" s="49"/>
      <c r="BO21" s="49"/>
      <c r="BP21" s="49"/>
      <c r="BQ21" s="122"/>
      <c r="BR21" s="42"/>
      <c r="BS21" s="65"/>
    </row>
    <row r="22" spans="1:71" x14ac:dyDescent="0.2">
      <c r="A22" s="129"/>
      <c r="B22" s="18">
        <f>IF(Teams!B19&lt;&gt;"", Teams!B19,"")</f>
        <v>18</v>
      </c>
      <c r="C22" s="31" t="str">
        <f>IF(Teams!C19&lt;&gt;"", Teams!C19,"")</f>
        <v>Team 18</v>
      </c>
      <c r="D22" s="132"/>
      <c r="E22" s="4"/>
      <c r="F22" s="4"/>
      <c r="G22" s="4"/>
      <c r="H22" s="113">
        <f>+$B22</f>
        <v>18</v>
      </c>
      <c r="I22" s="113"/>
      <c r="J22" s="113"/>
      <c r="K22" s="4"/>
      <c r="L22" s="4"/>
      <c r="M22" s="4"/>
      <c r="N22" s="4"/>
      <c r="O22" s="4"/>
      <c r="P22" s="4"/>
      <c r="Q22" s="132"/>
      <c r="R22" s="4"/>
      <c r="S22" s="4"/>
      <c r="T22" s="108">
        <f>+$B22</f>
        <v>18</v>
      </c>
      <c r="U22" s="108"/>
      <c r="V22" s="4"/>
      <c r="W22" s="4"/>
      <c r="X22" s="7"/>
      <c r="Y22" s="7"/>
      <c r="Z22" s="138">
        <f>+$B22</f>
        <v>18</v>
      </c>
      <c r="AA22" s="138"/>
      <c r="AB22" s="7"/>
      <c r="AC22" s="7"/>
      <c r="AD22" s="132"/>
      <c r="AE22" s="109">
        <f t="shared" si="22"/>
        <v>18</v>
      </c>
      <c r="AF22" s="110"/>
      <c r="AG22" s="111"/>
      <c r="AH22" s="4"/>
      <c r="AI22" s="4"/>
      <c r="AJ22" s="4"/>
      <c r="AK22" s="112">
        <f t="shared" si="23"/>
        <v>18</v>
      </c>
      <c r="AL22" s="112"/>
      <c r="AM22" s="112"/>
      <c r="AN22" s="4"/>
      <c r="AO22" s="4"/>
      <c r="AP22" s="4"/>
      <c r="AQ22" s="132"/>
      <c r="AR22" s="7"/>
      <c r="AS22" s="7"/>
      <c r="AT22" s="7"/>
      <c r="AU22" s="7"/>
      <c r="AV22" s="126">
        <f t="shared" si="24"/>
        <v>18</v>
      </c>
      <c r="AW22" s="127"/>
      <c r="AX22" s="4"/>
      <c r="AY22" s="4"/>
      <c r="AZ22" s="7"/>
      <c r="BA22" s="7"/>
      <c r="BB22" s="7"/>
      <c r="BC22" s="7"/>
      <c r="BD22" s="132"/>
      <c r="BE22" s="7"/>
      <c r="BF22" s="7"/>
      <c r="BG22" s="7"/>
      <c r="BH22" s="7"/>
      <c r="BI22" s="7"/>
      <c r="BJ22" s="7"/>
      <c r="BK22" s="139">
        <f t="shared" ref="BK22" si="30">+$B22</f>
        <v>18</v>
      </c>
      <c r="BL22" s="140"/>
      <c r="BM22" s="7"/>
      <c r="BN22" s="7"/>
      <c r="BO22" s="7"/>
      <c r="BP22" s="7"/>
      <c r="BQ22" s="122"/>
      <c r="BR22" s="42"/>
      <c r="BS22" s="65"/>
    </row>
    <row r="23" spans="1:71" x14ac:dyDescent="0.2">
      <c r="A23" s="129"/>
      <c r="B23" s="52">
        <f>IF(Teams!B20&lt;&gt;"", Teams!B20,"")</f>
        <v>19</v>
      </c>
      <c r="C23" s="53" t="str">
        <f>IF(Teams!C20&lt;&gt;"", Teams!C20,"")</f>
        <v>Team 19</v>
      </c>
      <c r="D23" s="132"/>
      <c r="E23" s="48"/>
      <c r="F23" s="48"/>
      <c r="G23" s="48"/>
      <c r="H23" s="48"/>
      <c r="I23" s="48"/>
      <c r="J23" s="48"/>
      <c r="K23" s="113">
        <f>+$B23</f>
        <v>19</v>
      </c>
      <c r="L23" s="113"/>
      <c r="M23" s="113"/>
      <c r="N23" s="48"/>
      <c r="O23" s="48"/>
      <c r="P23" s="48"/>
      <c r="Q23" s="132"/>
      <c r="R23" s="48"/>
      <c r="S23" s="48"/>
      <c r="T23" s="114">
        <f>+$B23</f>
        <v>19</v>
      </c>
      <c r="U23" s="114"/>
      <c r="V23" s="48"/>
      <c r="W23" s="48"/>
      <c r="X23" s="49"/>
      <c r="Y23" s="49"/>
      <c r="Z23" s="114">
        <f>+$B23</f>
        <v>19</v>
      </c>
      <c r="AA23" s="114"/>
      <c r="AB23" s="48"/>
      <c r="AC23" s="48"/>
      <c r="AD23" s="132"/>
      <c r="AE23" s="44"/>
      <c r="AF23" s="44"/>
      <c r="AG23" s="44"/>
      <c r="AH23" s="112">
        <f t="shared" ref="AH23:AH28" si="31">+$B23</f>
        <v>19</v>
      </c>
      <c r="AI23" s="112"/>
      <c r="AJ23" s="112"/>
      <c r="AK23" s="44"/>
      <c r="AL23" s="44"/>
      <c r="AM23" s="44"/>
      <c r="AN23" s="109">
        <f t="shared" ref="AN23:AN28" si="32">+$B23</f>
        <v>19</v>
      </c>
      <c r="AO23" s="110"/>
      <c r="AP23" s="111"/>
      <c r="AQ23" s="132"/>
      <c r="AR23" s="49"/>
      <c r="AS23" s="49"/>
      <c r="AT23" s="49"/>
      <c r="AU23" s="49"/>
      <c r="AV23" s="48"/>
      <c r="AW23" s="48"/>
      <c r="AX23" s="124">
        <f t="shared" ref="AX23:AX28" si="33">+$B23</f>
        <v>19</v>
      </c>
      <c r="AY23" s="125"/>
      <c r="AZ23" s="49"/>
      <c r="BA23" s="49"/>
      <c r="BB23" s="49"/>
      <c r="BC23" s="49"/>
      <c r="BD23" s="132"/>
      <c r="BE23" s="49"/>
      <c r="BF23" s="49"/>
      <c r="BG23" s="49"/>
      <c r="BH23" s="49"/>
      <c r="BI23" s="139">
        <f t="shared" ref="BI23" si="34">+$B23</f>
        <v>19</v>
      </c>
      <c r="BJ23" s="140"/>
      <c r="BK23" s="49"/>
      <c r="BL23" s="49"/>
      <c r="BM23" s="49"/>
      <c r="BN23" s="49"/>
      <c r="BO23" s="49"/>
      <c r="BP23" s="49"/>
      <c r="BQ23" s="122"/>
      <c r="BR23" s="42"/>
      <c r="BS23" s="65"/>
    </row>
    <row r="24" spans="1:71" x14ac:dyDescent="0.2">
      <c r="A24" s="129"/>
      <c r="B24" s="50">
        <f>IF(Teams!B21&lt;&gt;"", Teams!B21,"")</f>
        <v>20</v>
      </c>
      <c r="C24" s="51" t="str">
        <f>IF(Teams!C21&lt;&gt;"", Teams!C21,"")</f>
        <v>Team 20</v>
      </c>
      <c r="D24" s="132"/>
      <c r="E24" s="4"/>
      <c r="F24" s="4"/>
      <c r="G24" s="4"/>
      <c r="H24" s="4"/>
      <c r="I24" s="4"/>
      <c r="J24" s="4"/>
      <c r="K24" s="113">
        <f>+$B24</f>
        <v>20</v>
      </c>
      <c r="L24" s="113"/>
      <c r="M24" s="113"/>
      <c r="N24" s="4"/>
      <c r="O24" s="4"/>
      <c r="P24" s="4"/>
      <c r="Q24" s="132"/>
      <c r="R24" s="4"/>
      <c r="S24" s="4"/>
      <c r="T24" s="114">
        <f>+$B24</f>
        <v>20</v>
      </c>
      <c r="U24" s="114"/>
      <c r="V24" s="4"/>
      <c r="W24" s="4"/>
      <c r="X24" s="4"/>
      <c r="Y24" s="4"/>
      <c r="Z24" s="138">
        <f>+$B24</f>
        <v>20</v>
      </c>
      <c r="AA24" s="138"/>
      <c r="AB24" s="4"/>
      <c r="AC24" s="4"/>
      <c r="AD24" s="132"/>
      <c r="AE24" s="4"/>
      <c r="AF24" s="4"/>
      <c r="AG24" s="4"/>
      <c r="AH24" s="112">
        <f t="shared" si="31"/>
        <v>20</v>
      </c>
      <c r="AI24" s="112"/>
      <c r="AJ24" s="112"/>
      <c r="AK24" s="4"/>
      <c r="AL24" s="4"/>
      <c r="AM24" s="4"/>
      <c r="AN24" s="109">
        <f t="shared" si="32"/>
        <v>20</v>
      </c>
      <c r="AO24" s="110"/>
      <c r="AP24" s="111"/>
      <c r="AQ24" s="132"/>
      <c r="AR24" s="7"/>
      <c r="AS24" s="7"/>
      <c r="AT24" s="7"/>
      <c r="AU24" s="7"/>
      <c r="AV24" s="4"/>
      <c r="AW24" s="4"/>
      <c r="AX24" s="139">
        <f t="shared" si="33"/>
        <v>20</v>
      </c>
      <c r="AY24" s="140"/>
      <c r="AZ24" s="7"/>
      <c r="BA24" s="7"/>
      <c r="BB24" s="7"/>
      <c r="BC24" s="7"/>
      <c r="BD24" s="132"/>
      <c r="BE24" s="7"/>
      <c r="BF24" s="7"/>
      <c r="BG24" s="7"/>
      <c r="BH24" s="7"/>
      <c r="BI24" s="7"/>
      <c r="BJ24" s="7"/>
      <c r="BK24" s="124">
        <f t="shared" ref="BK24" si="35">+$B24</f>
        <v>20</v>
      </c>
      <c r="BL24" s="125"/>
      <c r="BM24" s="7"/>
      <c r="BN24" s="7"/>
      <c r="BO24" s="7"/>
      <c r="BP24" s="7"/>
      <c r="BQ24" s="122"/>
      <c r="BR24" s="65"/>
      <c r="BS24" s="65"/>
    </row>
    <row r="25" spans="1:71" x14ac:dyDescent="0.2">
      <c r="A25" s="129"/>
      <c r="B25" s="52">
        <f>IF(Teams!B22&lt;&gt;"", Teams!B22,"")</f>
        <v>21</v>
      </c>
      <c r="C25" s="53" t="str">
        <f>IF(Teams!C22&lt;&gt;"", Teams!C22,"")</f>
        <v>Team 21</v>
      </c>
      <c r="D25" s="132"/>
      <c r="E25" s="49"/>
      <c r="F25" s="49"/>
      <c r="G25" s="49"/>
      <c r="H25" s="49"/>
      <c r="I25" s="49"/>
      <c r="J25" s="49"/>
      <c r="K25" s="113">
        <f>+$B25</f>
        <v>21</v>
      </c>
      <c r="L25" s="113"/>
      <c r="M25" s="113"/>
      <c r="N25" s="49"/>
      <c r="O25" s="48"/>
      <c r="P25" s="48"/>
      <c r="Q25" s="132"/>
      <c r="R25" s="48"/>
      <c r="S25" s="48"/>
      <c r="T25" s="48"/>
      <c r="U25" s="48"/>
      <c r="V25" s="115">
        <f>+$B25</f>
        <v>21</v>
      </c>
      <c r="W25" s="115"/>
      <c r="X25" s="48"/>
      <c r="Y25" s="48"/>
      <c r="Z25" s="48"/>
      <c r="AA25" s="48"/>
      <c r="AB25" s="114">
        <f>+$B25</f>
        <v>21</v>
      </c>
      <c r="AC25" s="114"/>
      <c r="AD25" s="132"/>
      <c r="AE25" s="44"/>
      <c r="AF25" s="44"/>
      <c r="AG25" s="44"/>
      <c r="AH25" s="112">
        <f t="shared" si="31"/>
        <v>21</v>
      </c>
      <c r="AI25" s="112"/>
      <c r="AJ25" s="112"/>
      <c r="AK25" s="44"/>
      <c r="AL25" s="44"/>
      <c r="AM25" s="44"/>
      <c r="AN25" s="109">
        <f t="shared" si="32"/>
        <v>21</v>
      </c>
      <c r="AO25" s="110"/>
      <c r="AP25" s="111"/>
      <c r="AQ25" s="132"/>
      <c r="AR25" s="49"/>
      <c r="AS25" s="49"/>
      <c r="AT25" s="49"/>
      <c r="AU25" s="49"/>
      <c r="AV25" s="48"/>
      <c r="AW25" s="48"/>
      <c r="AX25" s="126">
        <f t="shared" si="33"/>
        <v>21</v>
      </c>
      <c r="AY25" s="127"/>
      <c r="AZ25" s="49"/>
      <c r="BA25" s="49"/>
      <c r="BB25" s="49"/>
      <c r="BC25" s="49"/>
      <c r="BD25" s="132"/>
      <c r="BE25" s="49"/>
      <c r="BF25" s="49"/>
      <c r="BG25" s="49"/>
      <c r="BH25" s="49"/>
      <c r="BI25" s="124">
        <f t="shared" ref="BI25" si="36">+$B25</f>
        <v>21</v>
      </c>
      <c r="BJ25" s="125"/>
      <c r="BK25" s="49"/>
      <c r="BL25" s="49"/>
      <c r="BM25" s="49"/>
      <c r="BN25" s="49"/>
      <c r="BO25" s="49"/>
      <c r="BP25" s="49"/>
      <c r="BQ25" s="122"/>
      <c r="BR25" s="65"/>
      <c r="BS25" s="65"/>
    </row>
    <row r="26" spans="1:71" x14ac:dyDescent="0.2">
      <c r="A26" s="129"/>
      <c r="B26" s="18">
        <f>IF(Teams!B23&lt;&gt;"", Teams!B23,"")</f>
        <v>22</v>
      </c>
      <c r="C26" s="31" t="str">
        <f>IF(Teams!C23&lt;&gt;"", Teams!C23,"")</f>
        <v>Team 22</v>
      </c>
      <c r="D26" s="132"/>
      <c r="E26" s="7"/>
      <c r="F26" s="7"/>
      <c r="G26" s="7"/>
      <c r="H26" s="7"/>
      <c r="I26" s="7"/>
      <c r="J26" s="7"/>
      <c r="K26" s="5"/>
      <c r="L26" s="5"/>
      <c r="M26" s="5"/>
      <c r="N26" s="113">
        <f t="shared" ref="N26:N27" si="37">+$B26</f>
        <v>22</v>
      </c>
      <c r="O26" s="113"/>
      <c r="P26" s="113"/>
      <c r="Q26" s="132"/>
      <c r="R26" s="4"/>
      <c r="S26" s="4"/>
      <c r="T26" s="4"/>
      <c r="U26" s="4"/>
      <c r="V26" s="115">
        <f>+$B26</f>
        <v>22</v>
      </c>
      <c r="W26" s="115"/>
      <c r="X26" s="4"/>
      <c r="Y26" s="4"/>
      <c r="Z26" s="4"/>
      <c r="AA26" s="4"/>
      <c r="AB26" s="108">
        <f>+$B26</f>
        <v>22</v>
      </c>
      <c r="AC26" s="108"/>
      <c r="AD26" s="132"/>
      <c r="AE26" s="7"/>
      <c r="AF26" s="7"/>
      <c r="AG26" s="7"/>
      <c r="AH26" s="109">
        <f t="shared" si="31"/>
        <v>22</v>
      </c>
      <c r="AI26" s="110"/>
      <c r="AJ26" s="111"/>
      <c r="AK26" s="7"/>
      <c r="AL26" s="7"/>
      <c r="AM26" s="7"/>
      <c r="AN26" s="112">
        <f t="shared" si="32"/>
        <v>22</v>
      </c>
      <c r="AO26" s="112"/>
      <c r="AP26" s="112"/>
      <c r="AQ26" s="132"/>
      <c r="AR26" s="7"/>
      <c r="AS26" s="7"/>
      <c r="AT26" s="7"/>
      <c r="AU26" s="7"/>
      <c r="AV26" s="4"/>
      <c r="AW26" s="4"/>
      <c r="AX26" s="124">
        <f t="shared" si="33"/>
        <v>22</v>
      </c>
      <c r="AY26" s="125"/>
      <c r="AZ26" s="7"/>
      <c r="BA26" s="7"/>
      <c r="BB26" s="7"/>
      <c r="BC26" s="7"/>
      <c r="BD26" s="132"/>
      <c r="BE26" s="7"/>
      <c r="BF26" s="7"/>
      <c r="BG26" s="7"/>
      <c r="BH26" s="7"/>
      <c r="BI26" s="7"/>
      <c r="BJ26" s="7"/>
      <c r="BK26" s="126">
        <f t="shared" ref="BK26" si="38">+$B26</f>
        <v>22</v>
      </c>
      <c r="BL26" s="127"/>
      <c r="BM26" s="7"/>
      <c r="BN26" s="7"/>
      <c r="BO26" s="7"/>
      <c r="BP26" s="7"/>
      <c r="BQ26" s="122"/>
      <c r="BR26" s="65"/>
      <c r="BS26" s="65"/>
    </row>
    <row r="27" spans="1:71" x14ac:dyDescent="0.2">
      <c r="A27" s="129"/>
      <c r="B27" s="52">
        <f>IF(Teams!B24&lt;&gt;"", Teams!B24,"")</f>
        <v>23</v>
      </c>
      <c r="C27" s="53" t="str">
        <f>IF(Teams!C24&lt;&gt;"", Teams!C24,"")</f>
        <v>Team 23</v>
      </c>
      <c r="D27" s="132"/>
      <c r="E27" s="49"/>
      <c r="F27" s="49"/>
      <c r="G27" s="49"/>
      <c r="H27" s="49"/>
      <c r="I27" s="49"/>
      <c r="J27" s="49"/>
      <c r="K27" s="49"/>
      <c r="L27" s="49"/>
      <c r="M27" s="49"/>
      <c r="N27" s="113">
        <f t="shared" si="37"/>
        <v>23</v>
      </c>
      <c r="O27" s="113"/>
      <c r="P27" s="113"/>
      <c r="Q27" s="132"/>
      <c r="R27" s="48"/>
      <c r="S27" s="48"/>
      <c r="T27" s="48"/>
      <c r="U27" s="48"/>
      <c r="V27" s="108">
        <f>+$B27</f>
        <v>23</v>
      </c>
      <c r="W27" s="108"/>
      <c r="X27" s="48"/>
      <c r="Y27" s="48"/>
      <c r="Z27" s="48"/>
      <c r="AA27" s="48"/>
      <c r="AB27" s="114">
        <f>+$B27</f>
        <v>23</v>
      </c>
      <c r="AC27" s="114"/>
      <c r="AD27" s="132"/>
      <c r="AE27" s="44"/>
      <c r="AF27" s="44"/>
      <c r="AG27" s="44"/>
      <c r="AH27" s="109">
        <f t="shared" si="31"/>
        <v>23</v>
      </c>
      <c r="AI27" s="110"/>
      <c r="AJ27" s="111"/>
      <c r="AK27" s="44"/>
      <c r="AL27" s="44"/>
      <c r="AM27" s="44"/>
      <c r="AN27" s="112">
        <f t="shared" si="32"/>
        <v>23</v>
      </c>
      <c r="AO27" s="112"/>
      <c r="AP27" s="112"/>
      <c r="AQ27" s="132"/>
      <c r="AR27" s="49"/>
      <c r="AS27" s="49"/>
      <c r="AT27" s="49"/>
      <c r="AU27" s="49"/>
      <c r="AV27" s="48"/>
      <c r="AW27" s="48"/>
      <c r="AX27" s="139">
        <f t="shared" si="33"/>
        <v>23</v>
      </c>
      <c r="AY27" s="140"/>
      <c r="AZ27" s="49"/>
      <c r="BA27" s="49"/>
      <c r="BB27" s="49"/>
      <c r="BC27" s="49"/>
      <c r="BD27" s="132"/>
      <c r="BE27" s="49"/>
      <c r="BF27" s="49"/>
      <c r="BG27" s="49"/>
      <c r="BH27" s="49"/>
      <c r="BI27" s="126">
        <f t="shared" ref="BI27" si="39">+$B27</f>
        <v>23</v>
      </c>
      <c r="BJ27" s="127"/>
      <c r="BK27" s="49"/>
      <c r="BL27" s="49"/>
      <c r="BM27" s="49"/>
      <c r="BN27" s="49"/>
      <c r="BO27" s="49"/>
      <c r="BP27" s="49"/>
      <c r="BQ27" s="122"/>
      <c r="BR27" s="65"/>
      <c r="BS27" s="65"/>
    </row>
    <row r="28" spans="1:71" x14ac:dyDescent="0.2">
      <c r="A28" s="130"/>
      <c r="B28" s="18">
        <f>IF(Teams!B25&lt;&gt;"", Teams!B25,"")</f>
        <v>24</v>
      </c>
      <c r="C28" s="31" t="str">
        <f>IF(Teams!C25&lt;&gt;"", Teams!C25,"")</f>
        <v>Team 24</v>
      </c>
      <c r="D28" s="133"/>
      <c r="E28" s="5"/>
      <c r="F28" s="5"/>
      <c r="G28" s="5"/>
      <c r="H28" s="5"/>
      <c r="I28" s="5"/>
      <c r="J28" s="5"/>
      <c r="K28" s="5"/>
      <c r="L28" s="5"/>
      <c r="M28" s="5"/>
      <c r="N28" s="113">
        <f>+$B28</f>
        <v>24</v>
      </c>
      <c r="O28" s="113"/>
      <c r="P28" s="113"/>
      <c r="Q28" s="133"/>
      <c r="R28" s="4"/>
      <c r="S28" s="4"/>
      <c r="T28" s="4"/>
      <c r="U28" s="4"/>
      <c r="V28" s="108">
        <f>+$B28</f>
        <v>24</v>
      </c>
      <c r="W28" s="108"/>
      <c r="X28" s="4"/>
      <c r="Y28" s="4"/>
      <c r="Z28" s="4"/>
      <c r="AA28" s="4"/>
      <c r="AB28" s="108">
        <f>+$B28</f>
        <v>24</v>
      </c>
      <c r="AC28" s="108"/>
      <c r="AD28" s="132"/>
      <c r="AE28" s="5"/>
      <c r="AF28" s="5"/>
      <c r="AG28" s="5"/>
      <c r="AH28" s="109">
        <f t="shared" si="31"/>
        <v>24</v>
      </c>
      <c r="AI28" s="110"/>
      <c r="AJ28" s="111"/>
      <c r="AK28" s="7"/>
      <c r="AL28" s="7"/>
      <c r="AM28" s="7"/>
      <c r="AN28" s="112">
        <f t="shared" si="32"/>
        <v>24</v>
      </c>
      <c r="AO28" s="112"/>
      <c r="AP28" s="112"/>
      <c r="AQ28" s="133"/>
      <c r="AR28" s="7"/>
      <c r="AS28" s="7"/>
      <c r="AT28" s="7"/>
      <c r="AU28" s="7"/>
      <c r="AV28" s="4"/>
      <c r="AW28" s="4"/>
      <c r="AX28" s="126">
        <f t="shared" si="33"/>
        <v>24</v>
      </c>
      <c r="AY28" s="127"/>
      <c r="AZ28" s="7"/>
      <c r="BA28" s="7"/>
      <c r="BB28" s="7"/>
      <c r="BC28" s="7"/>
      <c r="BD28" s="133"/>
      <c r="BE28" s="7"/>
      <c r="BF28" s="7"/>
      <c r="BG28" s="7"/>
      <c r="BH28" s="7"/>
      <c r="BI28" s="7"/>
      <c r="BJ28" s="7"/>
      <c r="BK28" s="139">
        <f t="shared" ref="BK28" si="40">+$B28</f>
        <v>24</v>
      </c>
      <c r="BL28" s="140"/>
      <c r="BM28" s="7"/>
      <c r="BN28" s="7"/>
      <c r="BO28" s="7"/>
      <c r="BP28" s="7"/>
      <c r="BQ28" s="123"/>
      <c r="BR28" s="65"/>
      <c r="BS28" s="65"/>
    </row>
    <row r="29" spans="1:71" ht="55.5" customHeight="1" x14ac:dyDescent="0.2">
      <c r="A29" s="81"/>
      <c r="B29" s="84"/>
      <c r="C29" s="92"/>
      <c r="D29" s="34" t="str">
        <f t="shared" ref="D29:AI29" si="41">D1</f>
        <v>8:30 AM</v>
      </c>
      <c r="E29" s="24" t="str">
        <f t="shared" si="41"/>
        <v>9:00 AM</v>
      </c>
      <c r="F29" s="24" t="str">
        <f t="shared" si="41"/>
        <v>9:05 AM</v>
      </c>
      <c r="G29" s="24" t="str">
        <f t="shared" si="41"/>
        <v>9:10 AM</v>
      </c>
      <c r="H29" s="24" t="str">
        <f t="shared" si="41"/>
        <v>9:15 AM</v>
      </c>
      <c r="I29" s="24" t="str">
        <f t="shared" si="41"/>
        <v>9:20 AM</v>
      </c>
      <c r="J29" s="24" t="str">
        <f t="shared" si="41"/>
        <v>9:25 AM</v>
      </c>
      <c r="K29" s="24" t="str">
        <f t="shared" si="41"/>
        <v>9:30 AM</v>
      </c>
      <c r="L29" s="24" t="str">
        <f t="shared" si="41"/>
        <v>9:35 AM</v>
      </c>
      <c r="M29" s="24" t="str">
        <f t="shared" si="41"/>
        <v>9:40 AM</v>
      </c>
      <c r="N29" s="24" t="str">
        <f t="shared" si="41"/>
        <v>9:45 AM</v>
      </c>
      <c r="O29" s="24" t="str">
        <f t="shared" si="41"/>
        <v>9:50 AM</v>
      </c>
      <c r="P29" s="24" t="str">
        <f t="shared" si="41"/>
        <v>9:55 AM</v>
      </c>
      <c r="Q29" s="34" t="str">
        <f t="shared" si="41"/>
        <v>10:00 AM</v>
      </c>
      <c r="R29" s="24" t="str">
        <f t="shared" si="41"/>
        <v>10:10 AM</v>
      </c>
      <c r="S29" s="24" t="str">
        <f t="shared" si="41"/>
        <v>10:15 AM</v>
      </c>
      <c r="T29" s="24" t="str">
        <f t="shared" si="41"/>
        <v>10:20 AM</v>
      </c>
      <c r="U29" s="24" t="str">
        <f t="shared" si="41"/>
        <v>10:25 AM</v>
      </c>
      <c r="V29" s="24" t="str">
        <f t="shared" si="41"/>
        <v>10:30 AM</v>
      </c>
      <c r="W29" s="24" t="str">
        <f t="shared" si="41"/>
        <v>10:35 AM</v>
      </c>
      <c r="X29" s="24" t="str">
        <f t="shared" si="41"/>
        <v>10:40 AM</v>
      </c>
      <c r="Y29" s="24" t="str">
        <f t="shared" si="41"/>
        <v>10:45 AM</v>
      </c>
      <c r="Z29" s="24" t="str">
        <f t="shared" si="41"/>
        <v>10:50 AM</v>
      </c>
      <c r="AA29" s="24" t="str">
        <f t="shared" si="41"/>
        <v>10:55 AM</v>
      </c>
      <c r="AB29" s="24" t="str">
        <f t="shared" si="41"/>
        <v>11:00 AM</v>
      </c>
      <c r="AC29" s="24" t="str">
        <f t="shared" si="41"/>
        <v>11:05 AM</v>
      </c>
      <c r="AD29" s="34" t="str">
        <f t="shared" si="41"/>
        <v>11:10 AM</v>
      </c>
      <c r="AE29" s="24" t="str">
        <f t="shared" si="41"/>
        <v>11:20 AM</v>
      </c>
      <c r="AF29" s="24" t="str">
        <f t="shared" si="41"/>
        <v>11:25 AM</v>
      </c>
      <c r="AG29" s="24" t="str">
        <f t="shared" si="41"/>
        <v>11:30 AM</v>
      </c>
      <c r="AH29" s="24" t="str">
        <f t="shared" si="41"/>
        <v>11:35 AM</v>
      </c>
      <c r="AI29" s="24" t="str">
        <f t="shared" si="41"/>
        <v>11:40 AM</v>
      </c>
      <c r="AJ29" s="24" t="str">
        <f t="shared" ref="AJ29:BQ29" si="42">AJ1</f>
        <v>11:45 AM</v>
      </c>
      <c r="AK29" s="24" t="str">
        <f t="shared" si="42"/>
        <v>11:50 AM</v>
      </c>
      <c r="AL29" s="24" t="str">
        <f t="shared" si="42"/>
        <v>11:55 AM</v>
      </c>
      <c r="AM29" s="24" t="str">
        <f t="shared" si="42"/>
        <v>12:00 PM</v>
      </c>
      <c r="AN29" s="24" t="str">
        <f t="shared" si="42"/>
        <v>12:05 PM</v>
      </c>
      <c r="AO29" s="24" t="str">
        <f t="shared" si="42"/>
        <v>12:10 PM</v>
      </c>
      <c r="AP29" s="24" t="str">
        <f t="shared" si="42"/>
        <v>12:15 PM</v>
      </c>
      <c r="AQ29" s="34" t="str">
        <f t="shared" si="42"/>
        <v>12:20 PM</v>
      </c>
      <c r="AR29" s="24" t="str">
        <f t="shared" si="42"/>
        <v>1:00 PM</v>
      </c>
      <c r="AS29" s="24" t="str">
        <f t="shared" si="42"/>
        <v>1:05 PM</v>
      </c>
      <c r="AT29" s="24" t="str">
        <f t="shared" si="42"/>
        <v>1:10 PM</v>
      </c>
      <c r="AU29" s="24" t="str">
        <f t="shared" si="42"/>
        <v>1:15 PM</v>
      </c>
      <c r="AV29" s="24" t="str">
        <f t="shared" si="42"/>
        <v>1:20 PM</v>
      </c>
      <c r="AW29" s="24" t="str">
        <f t="shared" si="42"/>
        <v>1:25 PM</v>
      </c>
      <c r="AX29" s="24" t="str">
        <f t="shared" si="42"/>
        <v>1:30 PM</v>
      </c>
      <c r="AY29" s="24" t="str">
        <f t="shared" si="42"/>
        <v>1:35 PM</v>
      </c>
      <c r="AZ29" s="24" t="str">
        <f t="shared" si="42"/>
        <v>1:40 PM</v>
      </c>
      <c r="BA29" s="24" t="str">
        <f t="shared" si="42"/>
        <v>1:45 PM</v>
      </c>
      <c r="BB29" s="24" t="str">
        <f t="shared" si="42"/>
        <v>1:50 PM</v>
      </c>
      <c r="BC29" s="24" t="str">
        <f t="shared" si="42"/>
        <v>1:55 PM</v>
      </c>
      <c r="BD29" s="34" t="str">
        <f t="shared" si="42"/>
        <v>2:00 PM</v>
      </c>
      <c r="BE29" s="24" t="str">
        <f t="shared" si="42"/>
        <v>2:10 PM</v>
      </c>
      <c r="BF29" s="24" t="str">
        <f t="shared" si="42"/>
        <v>2:15 PM</v>
      </c>
      <c r="BG29" s="24" t="str">
        <f t="shared" si="42"/>
        <v>2:20 PM</v>
      </c>
      <c r="BH29" s="24" t="str">
        <f t="shared" si="42"/>
        <v>2:25 PM</v>
      </c>
      <c r="BI29" s="24" t="str">
        <f t="shared" si="42"/>
        <v>2:30 PM</v>
      </c>
      <c r="BJ29" s="24" t="str">
        <f t="shared" si="42"/>
        <v>2:35 PM</v>
      </c>
      <c r="BK29" s="24" t="str">
        <f t="shared" si="42"/>
        <v>2:40 PM</v>
      </c>
      <c r="BL29" s="24" t="str">
        <f t="shared" si="42"/>
        <v>2:45 PM</v>
      </c>
      <c r="BM29" s="24" t="str">
        <f t="shared" si="42"/>
        <v>2:50 PM</v>
      </c>
      <c r="BN29" s="24" t="str">
        <f t="shared" si="42"/>
        <v>2:55 PM</v>
      </c>
      <c r="BO29" s="24" t="str">
        <f t="shared" si="42"/>
        <v>3:00 PM</v>
      </c>
      <c r="BP29" s="24" t="str">
        <f t="shared" si="42"/>
        <v>3:05 PM</v>
      </c>
      <c r="BQ29" s="83" t="str">
        <f t="shared" si="42"/>
        <v>3:30 PM</v>
      </c>
      <c r="BR29" s="42"/>
      <c r="BS29" s="65"/>
    </row>
    <row r="30" spans="1:71" ht="12.75" customHeight="1" x14ac:dyDescent="0.2">
      <c r="A30" s="128"/>
      <c r="B30" s="3" t="s">
        <v>0</v>
      </c>
      <c r="C30" s="3" t="s">
        <v>1</v>
      </c>
      <c r="D30" s="131" t="s">
        <v>2</v>
      </c>
      <c r="E30" s="134" t="s">
        <v>5</v>
      </c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1" t="s">
        <v>3</v>
      </c>
      <c r="R30" s="134" t="s">
        <v>6</v>
      </c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  <c r="AD30" s="131" t="s">
        <v>3</v>
      </c>
      <c r="AE30" s="134" t="s">
        <v>7</v>
      </c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34"/>
      <c r="AQ30" s="141" t="s">
        <v>27</v>
      </c>
      <c r="AR30" s="135" t="s">
        <v>8</v>
      </c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7"/>
      <c r="BQ30" s="121" t="s">
        <v>4</v>
      </c>
      <c r="BR30" s="42"/>
      <c r="BS30" s="65"/>
    </row>
    <row r="31" spans="1:71" x14ac:dyDescent="0.2">
      <c r="A31" s="129"/>
      <c r="B31" s="52">
        <f>IF(Teams!B26&lt;&gt;"", Teams!B26,"")</f>
        <v>25</v>
      </c>
      <c r="C31" s="53" t="str">
        <f>IF(Teams!C26&lt;&gt;"", Teams!C26,"")</f>
        <v>Team 25</v>
      </c>
      <c r="D31" s="132"/>
      <c r="E31" s="112">
        <f t="shared" ref="E31:E36" si="43">+$B31</f>
        <v>25</v>
      </c>
      <c r="F31" s="112"/>
      <c r="G31" s="112"/>
      <c r="H31" s="44"/>
      <c r="I31" s="44"/>
      <c r="J31" s="44"/>
      <c r="K31" s="109">
        <f t="shared" ref="K31:K36" si="44">+$B31</f>
        <v>25</v>
      </c>
      <c r="L31" s="110"/>
      <c r="M31" s="111"/>
      <c r="N31" s="44"/>
      <c r="O31" s="44"/>
      <c r="P31" s="44"/>
      <c r="Q31" s="132"/>
      <c r="R31" s="113">
        <f>+$B31</f>
        <v>25</v>
      </c>
      <c r="S31" s="113"/>
      <c r="T31" s="113"/>
      <c r="U31" s="48"/>
      <c r="V31" s="48"/>
      <c r="W31" s="48"/>
      <c r="X31" s="48"/>
      <c r="Y31" s="48"/>
      <c r="Z31" s="48"/>
      <c r="AA31" s="48"/>
      <c r="AB31" s="48"/>
      <c r="AC31" s="48"/>
      <c r="AD31" s="132"/>
      <c r="AE31" s="114">
        <f>+$B31</f>
        <v>25</v>
      </c>
      <c r="AF31" s="114"/>
      <c r="AG31" s="48"/>
      <c r="AH31" s="48"/>
      <c r="AI31" s="48"/>
      <c r="AJ31" s="48"/>
      <c r="AK31" s="115">
        <f>+$B31</f>
        <v>25</v>
      </c>
      <c r="AL31" s="115"/>
      <c r="AM31" s="48"/>
      <c r="AN31" s="48"/>
      <c r="AO31" s="48"/>
      <c r="AP31" s="48"/>
      <c r="AQ31" s="132"/>
      <c r="AR31" s="49"/>
      <c r="AS31" s="49"/>
      <c r="AT31" s="49"/>
      <c r="AU31" s="49"/>
      <c r="AV31" s="49"/>
      <c r="AW31" s="49"/>
      <c r="AX31" s="49"/>
      <c r="AY31" s="49"/>
      <c r="AZ31" s="124">
        <f t="shared" ref="AZ31:AZ36" si="45">+$B31</f>
        <v>25</v>
      </c>
      <c r="BA31" s="125"/>
      <c r="BB31" s="48"/>
      <c r="BC31" s="48"/>
      <c r="BD31" s="131" t="s">
        <v>3</v>
      </c>
      <c r="BE31" s="49"/>
      <c r="BF31" s="49"/>
      <c r="BG31" s="49"/>
      <c r="BH31" s="49"/>
      <c r="BI31" s="49"/>
      <c r="BJ31" s="49"/>
      <c r="BK31" s="49"/>
      <c r="BL31" s="49"/>
      <c r="BM31" s="139">
        <f t="shared" ref="BM31" si="46">+$B31</f>
        <v>25</v>
      </c>
      <c r="BN31" s="140"/>
      <c r="BO31" s="49"/>
      <c r="BP31" s="49"/>
      <c r="BQ31" s="122"/>
      <c r="BR31" s="42"/>
      <c r="BS31" s="65"/>
    </row>
    <row r="32" spans="1:71" x14ac:dyDescent="0.2">
      <c r="A32" s="129"/>
      <c r="B32" s="18">
        <f>IF(Teams!B27&lt;&gt;"", Teams!B27,"")</f>
        <v>26</v>
      </c>
      <c r="C32" s="31" t="str">
        <f>IF(Teams!C27&lt;&gt;"", Teams!C27,"")</f>
        <v>Team 26</v>
      </c>
      <c r="D32" s="132"/>
      <c r="E32" s="112">
        <f t="shared" si="43"/>
        <v>26</v>
      </c>
      <c r="F32" s="112"/>
      <c r="G32" s="112"/>
      <c r="H32" s="4"/>
      <c r="I32" s="4"/>
      <c r="J32" s="4"/>
      <c r="K32" s="109">
        <f t="shared" si="44"/>
        <v>26</v>
      </c>
      <c r="L32" s="110"/>
      <c r="M32" s="111"/>
      <c r="N32" s="4"/>
      <c r="O32" s="7"/>
      <c r="P32" s="7"/>
      <c r="Q32" s="132"/>
      <c r="R32" s="113">
        <f>+$B32</f>
        <v>26</v>
      </c>
      <c r="S32" s="113"/>
      <c r="T32" s="113"/>
      <c r="U32" s="4"/>
      <c r="V32" s="4"/>
      <c r="W32" s="4"/>
      <c r="X32" s="4"/>
      <c r="Y32" s="4"/>
      <c r="Z32" s="4"/>
      <c r="AA32" s="4"/>
      <c r="AB32" s="7"/>
      <c r="AC32" s="7"/>
      <c r="AD32" s="132"/>
      <c r="AE32" s="114">
        <f>+$B32</f>
        <v>26</v>
      </c>
      <c r="AF32" s="114"/>
      <c r="AG32" s="4"/>
      <c r="AH32" s="4"/>
      <c r="AI32" s="4"/>
      <c r="AJ32" s="4"/>
      <c r="AK32" s="108">
        <f>+$B32</f>
        <v>26</v>
      </c>
      <c r="AL32" s="108"/>
      <c r="AM32" s="4"/>
      <c r="AN32" s="4"/>
      <c r="AO32" s="4"/>
      <c r="AP32" s="4"/>
      <c r="AQ32" s="132"/>
      <c r="AR32" s="7"/>
      <c r="AS32" s="7"/>
      <c r="AT32" s="7"/>
      <c r="AU32" s="7"/>
      <c r="AV32" s="7"/>
      <c r="AW32" s="7"/>
      <c r="AX32" s="7"/>
      <c r="AY32" s="7"/>
      <c r="AZ32" s="139">
        <f t="shared" si="45"/>
        <v>26</v>
      </c>
      <c r="BA32" s="140"/>
      <c r="BB32" s="4"/>
      <c r="BC32" s="4"/>
      <c r="BD32" s="132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124">
        <f t="shared" ref="BO32" si="47">+$B32</f>
        <v>26</v>
      </c>
      <c r="BP32" s="125"/>
      <c r="BQ32" s="122"/>
      <c r="BR32" s="42"/>
      <c r="BS32" s="65"/>
    </row>
    <row r="33" spans="1:71" x14ac:dyDescent="0.2">
      <c r="A33" s="129"/>
      <c r="B33" s="52">
        <f>IF(Teams!B28&lt;&gt;"", Teams!B28,"")</f>
        <v>27</v>
      </c>
      <c r="C33" s="53" t="str">
        <f>IF(Teams!C28&lt;&gt;"", Teams!C28,"")</f>
        <v>Team 27</v>
      </c>
      <c r="D33" s="132"/>
      <c r="E33" s="112">
        <f t="shared" si="43"/>
        <v>27</v>
      </c>
      <c r="F33" s="112"/>
      <c r="G33" s="112"/>
      <c r="H33" s="44"/>
      <c r="I33" s="44"/>
      <c r="J33" s="44"/>
      <c r="K33" s="109">
        <f t="shared" si="44"/>
        <v>27</v>
      </c>
      <c r="L33" s="110"/>
      <c r="M33" s="111"/>
      <c r="N33" s="44"/>
      <c r="O33" s="44"/>
      <c r="P33" s="44"/>
      <c r="Q33" s="132"/>
      <c r="R33" s="113">
        <f>+$B33</f>
        <v>27</v>
      </c>
      <c r="S33" s="113"/>
      <c r="T33" s="113"/>
      <c r="U33" s="48"/>
      <c r="V33" s="48"/>
      <c r="W33" s="48"/>
      <c r="X33" s="48"/>
      <c r="Y33" s="48"/>
      <c r="Z33" s="48"/>
      <c r="AA33" s="48"/>
      <c r="AB33" s="48"/>
      <c r="AC33" s="48"/>
      <c r="AD33" s="132"/>
      <c r="AE33" s="115">
        <f>+$B33</f>
        <v>27</v>
      </c>
      <c r="AF33" s="115"/>
      <c r="AG33" s="48"/>
      <c r="AH33" s="48"/>
      <c r="AI33" s="48"/>
      <c r="AJ33" s="48"/>
      <c r="AK33" s="115">
        <f>+$B33</f>
        <v>27</v>
      </c>
      <c r="AL33" s="115"/>
      <c r="AM33" s="48"/>
      <c r="AN33" s="48"/>
      <c r="AO33" s="48"/>
      <c r="AP33" s="48"/>
      <c r="AQ33" s="132"/>
      <c r="AR33" s="49"/>
      <c r="AS33" s="49"/>
      <c r="AT33" s="49"/>
      <c r="AU33" s="49"/>
      <c r="AV33" s="49"/>
      <c r="AW33" s="49"/>
      <c r="AX33" s="49"/>
      <c r="AY33" s="49"/>
      <c r="AZ33" s="126">
        <f t="shared" si="45"/>
        <v>27</v>
      </c>
      <c r="BA33" s="127"/>
      <c r="BB33" s="48"/>
      <c r="BC33" s="48"/>
      <c r="BD33" s="132"/>
      <c r="BE33" s="49"/>
      <c r="BF33" s="49"/>
      <c r="BG33" s="49"/>
      <c r="BH33" s="49"/>
      <c r="BI33" s="49"/>
      <c r="BJ33" s="49"/>
      <c r="BK33" s="49"/>
      <c r="BL33" s="49"/>
      <c r="BM33" s="124">
        <f t="shared" ref="BM33" si="48">+$B33</f>
        <v>27</v>
      </c>
      <c r="BN33" s="125"/>
      <c r="BO33" s="49"/>
      <c r="BP33" s="49"/>
      <c r="BQ33" s="122"/>
      <c r="BR33" s="42"/>
      <c r="BS33" s="65"/>
    </row>
    <row r="34" spans="1:71" x14ac:dyDescent="0.2">
      <c r="A34" s="129"/>
      <c r="B34" s="18">
        <f>IF(Teams!B29&lt;&gt;"", Teams!B29,"")</f>
        <v>28</v>
      </c>
      <c r="C34" s="31" t="str">
        <f>IF(Teams!C29&lt;&gt;"", Teams!C29,"")</f>
        <v>Team 28</v>
      </c>
      <c r="D34" s="132"/>
      <c r="E34" s="109">
        <f t="shared" si="43"/>
        <v>28</v>
      </c>
      <c r="F34" s="110"/>
      <c r="G34" s="111"/>
      <c r="H34" s="4"/>
      <c r="I34" s="4"/>
      <c r="J34" s="4"/>
      <c r="K34" s="112">
        <f t="shared" si="44"/>
        <v>28</v>
      </c>
      <c r="L34" s="112"/>
      <c r="M34" s="112"/>
      <c r="N34" s="4"/>
      <c r="O34" s="7"/>
      <c r="P34" s="7"/>
      <c r="Q34" s="132"/>
      <c r="R34" s="4"/>
      <c r="S34" s="4"/>
      <c r="T34" s="4"/>
      <c r="U34" s="113">
        <f>+$B34</f>
        <v>28</v>
      </c>
      <c r="V34" s="113"/>
      <c r="W34" s="113"/>
      <c r="X34" s="4"/>
      <c r="Y34" s="4"/>
      <c r="Z34" s="4"/>
      <c r="AA34" s="4"/>
      <c r="AB34" s="4"/>
      <c r="AC34" s="4"/>
      <c r="AD34" s="132"/>
      <c r="AE34" s="115">
        <f>+$B34</f>
        <v>28</v>
      </c>
      <c r="AF34" s="115"/>
      <c r="AG34" s="4"/>
      <c r="AH34" s="4"/>
      <c r="AI34" s="4"/>
      <c r="AJ34" s="4"/>
      <c r="AK34" s="108">
        <f>+$B34</f>
        <v>28</v>
      </c>
      <c r="AL34" s="108"/>
      <c r="AM34" s="4"/>
      <c r="AN34" s="4"/>
      <c r="AO34" s="4"/>
      <c r="AP34" s="4"/>
      <c r="AQ34" s="132"/>
      <c r="AR34" s="7"/>
      <c r="AS34" s="7"/>
      <c r="AT34" s="7"/>
      <c r="AU34" s="7"/>
      <c r="AV34" s="7"/>
      <c r="AW34" s="7"/>
      <c r="AX34" s="7"/>
      <c r="AY34" s="7"/>
      <c r="AZ34" s="124">
        <f t="shared" si="45"/>
        <v>28</v>
      </c>
      <c r="BA34" s="125"/>
      <c r="BB34" s="4"/>
      <c r="BC34" s="4"/>
      <c r="BD34" s="132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126">
        <f t="shared" ref="BO34" si="49">+$B34</f>
        <v>28</v>
      </c>
      <c r="BP34" s="127"/>
      <c r="BQ34" s="122"/>
      <c r="BR34" s="42"/>
      <c r="BS34" s="65"/>
    </row>
    <row r="35" spans="1:71" x14ac:dyDescent="0.2">
      <c r="A35" s="129"/>
      <c r="B35" s="52">
        <f>IF(Teams!B30&lt;&gt;"", Teams!B30,"")</f>
        <v>29</v>
      </c>
      <c r="C35" s="53" t="str">
        <f>IF(Teams!C30&lt;&gt;"", Teams!C30,"")</f>
        <v>Team 29</v>
      </c>
      <c r="D35" s="132"/>
      <c r="E35" s="109">
        <f t="shared" si="43"/>
        <v>29</v>
      </c>
      <c r="F35" s="110"/>
      <c r="G35" s="111"/>
      <c r="H35" s="44"/>
      <c r="I35" s="44"/>
      <c r="J35" s="44"/>
      <c r="K35" s="112">
        <f t="shared" si="44"/>
        <v>29</v>
      </c>
      <c r="L35" s="112"/>
      <c r="M35" s="112"/>
      <c r="N35" s="44"/>
      <c r="O35" s="44"/>
      <c r="P35" s="44"/>
      <c r="Q35" s="132"/>
      <c r="R35" s="48"/>
      <c r="S35" s="48"/>
      <c r="T35" s="48"/>
      <c r="U35" s="113">
        <f>+$B35</f>
        <v>29</v>
      </c>
      <c r="V35" s="113"/>
      <c r="W35" s="113"/>
      <c r="X35" s="48"/>
      <c r="Y35" s="48"/>
      <c r="Z35" s="48"/>
      <c r="AA35" s="48"/>
      <c r="AB35" s="48"/>
      <c r="AC35" s="48"/>
      <c r="AD35" s="132"/>
      <c r="AE35" s="48"/>
      <c r="AF35" s="48"/>
      <c r="AG35" s="108">
        <f>+$B35</f>
        <v>29</v>
      </c>
      <c r="AH35" s="108"/>
      <c r="AI35" s="48"/>
      <c r="AJ35" s="48"/>
      <c r="AK35" s="48"/>
      <c r="AL35" s="48"/>
      <c r="AM35" s="114">
        <f>+$B35</f>
        <v>29</v>
      </c>
      <c r="AN35" s="114"/>
      <c r="AO35" s="48"/>
      <c r="AP35" s="48"/>
      <c r="AQ35" s="132"/>
      <c r="AR35" s="49"/>
      <c r="AS35" s="49"/>
      <c r="AT35" s="49"/>
      <c r="AU35" s="49"/>
      <c r="AV35" s="49"/>
      <c r="AW35" s="49"/>
      <c r="AX35" s="49"/>
      <c r="AY35" s="49"/>
      <c r="AZ35" s="139">
        <f t="shared" si="45"/>
        <v>29</v>
      </c>
      <c r="BA35" s="140"/>
      <c r="BB35" s="48"/>
      <c r="BC35" s="48"/>
      <c r="BD35" s="132"/>
      <c r="BE35" s="49"/>
      <c r="BF35" s="49"/>
      <c r="BG35" s="49"/>
      <c r="BH35" s="49"/>
      <c r="BI35" s="49"/>
      <c r="BJ35" s="49"/>
      <c r="BK35" s="49"/>
      <c r="BL35" s="49"/>
      <c r="BM35" s="126">
        <f t="shared" ref="BM35" si="50">+$B35</f>
        <v>29</v>
      </c>
      <c r="BN35" s="127"/>
      <c r="BO35" s="49"/>
      <c r="BP35" s="49"/>
      <c r="BQ35" s="122"/>
      <c r="BR35" s="42"/>
      <c r="BS35" s="65"/>
    </row>
    <row r="36" spans="1:71" x14ac:dyDescent="0.2">
      <c r="A36" s="129"/>
      <c r="B36" s="18">
        <f>IF(Teams!B31&lt;&gt;"", Teams!B31,"")</f>
        <v>30</v>
      </c>
      <c r="C36" s="31" t="str">
        <f>IF(Teams!C31&lt;&gt;"", Teams!C31,"")</f>
        <v>Team 30</v>
      </c>
      <c r="D36" s="132"/>
      <c r="E36" s="109">
        <f t="shared" si="43"/>
        <v>30</v>
      </c>
      <c r="F36" s="110"/>
      <c r="G36" s="111"/>
      <c r="H36" s="4"/>
      <c r="I36" s="4"/>
      <c r="J36" s="4"/>
      <c r="K36" s="112">
        <f t="shared" si="44"/>
        <v>30</v>
      </c>
      <c r="L36" s="112"/>
      <c r="M36" s="112"/>
      <c r="N36" s="4"/>
      <c r="O36" s="4"/>
      <c r="P36" s="4"/>
      <c r="Q36" s="132"/>
      <c r="R36" s="4"/>
      <c r="S36" s="4"/>
      <c r="T36" s="4"/>
      <c r="U36" s="113">
        <f>+$B36</f>
        <v>30</v>
      </c>
      <c r="V36" s="113"/>
      <c r="W36" s="113"/>
      <c r="X36" s="4"/>
      <c r="Y36" s="4"/>
      <c r="Z36" s="4"/>
      <c r="AA36" s="4"/>
      <c r="AB36" s="4"/>
      <c r="AC36" s="4"/>
      <c r="AD36" s="132"/>
      <c r="AE36" s="4"/>
      <c r="AF36" s="4"/>
      <c r="AG36" s="108">
        <f>+$B36</f>
        <v>30</v>
      </c>
      <c r="AH36" s="108"/>
      <c r="AI36" s="4"/>
      <c r="AJ36" s="4"/>
      <c r="AK36" s="7"/>
      <c r="AL36" s="7"/>
      <c r="AM36" s="138">
        <f>+$B36</f>
        <v>30</v>
      </c>
      <c r="AN36" s="138"/>
      <c r="AO36" s="7"/>
      <c r="AP36" s="7"/>
      <c r="AQ36" s="132"/>
      <c r="AR36" s="7"/>
      <c r="AS36" s="7"/>
      <c r="AT36" s="7"/>
      <c r="AU36" s="7"/>
      <c r="AV36" s="7"/>
      <c r="AW36" s="7"/>
      <c r="AX36" s="7"/>
      <c r="AY36" s="7"/>
      <c r="AZ36" s="126">
        <f t="shared" si="45"/>
        <v>30</v>
      </c>
      <c r="BA36" s="127"/>
      <c r="BB36" s="4"/>
      <c r="BC36" s="4"/>
      <c r="BD36" s="132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139">
        <f t="shared" ref="BO36" si="51">+$B36</f>
        <v>30</v>
      </c>
      <c r="BP36" s="140"/>
      <c r="BQ36" s="122"/>
      <c r="BR36" s="42"/>
      <c r="BS36" s="65"/>
    </row>
    <row r="37" spans="1:71" x14ac:dyDescent="0.2">
      <c r="A37" s="129"/>
      <c r="B37" s="52">
        <f>IF(Teams!B32&lt;&gt;"", Teams!B32,"")</f>
        <v>31</v>
      </c>
      <c r="C37" s="53" t="str">
        <f>IF(Teams!C32&lt;&gt;"", Teams!C32,"")</f>
        <v>Team 31</v>
      </c>
      <c r="D37" s="132"/>
      <c r="E37" s="44"/>
      <c r="F37" s="44"/>
      <c r="G37" s="44"/>
      <c r="H37" s="112">
        <f t="shared" ref="H37:H42" si="52">+$B37</f>
        <v>31</v>
      </c>
      <c r="I37" s="112"/>
      <c r="J37" s="112"/>
      <c r="K37" s="44"/>
      <c r="L37" s="44"/>
      <c r="M37" s="44"/>
      <c r="N37" s="109">
        <f t="shared" ref="N37:N42" si="53">+$B37</f>
        <v>31</v>
      </c>
      <c r="O37" s="110"/>
      <c r="P37" s="111"/>
      <c r="Q37" s="132"/>
      <c r="R37" s="48"/>
      <c r="S37" s="48"/>
      <c r="T37" s="48"/>
      <c r="U37" s="48"/>
      <c r="V37" s="48"/>
      <c r="W37" s="48"/>
      <c r="X37" s="113">
        <f>+$B37</f>
        <v>31</v>
      </c>
      <c r="Y37" s="113"/>
      <c r="Z37" s="113"/>
      <c r="AA37" s="48"/>
      <c r="AB37" s="48"/>
      <c r="AC37" s="48"/>
      <c r="AD37" s="132"/>
      <c r="AE37" s="48"/>
      <c r="AF37" s="48"/>
      <c r="AG37" s="114">
        <f>+$B37</f>
        <v>31</v>
      </c>
      <c r="AH37" s="114"/>
      <c r="AI37" s="48"/>
      <c r="AJ37" s="48"/>
      <c r="AK37" s="49"/>
      <c r="AL37" s="49"/>
      <c r="AM37" s="114">
        <f>+$B37</f>
        <v>31</v>
      </c>
      <c r="AN37" s="114"/>
      <c r="AO37" s="48"/>
      <c r="AP37" s="48"/>
      <c r="AQ37" s="132"/>
      <c r="AR37" s="49"/>
      <c r="AS37" s="49"/>
      <c r="AT37" s="49"/>
      <c r="AU37" s="49"/>
      <c r="AV37" s="49"/>
      <c r="AW37" s="49"/>
      <c r="AX37" s="49"/>
      <c r="AY37" s="49"/>
      <c r="AZ37" s="48"/>
      <c r="BA37" s="48"/>
      <c r="BB37" s="124">
        <f t="shared" ref="BB37:BB42" si="54">+$B37</f>
        <v>31</v>
      </c>
      <c r="BC37" s="125"/>
      <c r="BD37" s="132"/>
      <c r="BE37" s="49"/>
      <c r="BF37" s="49"/>
      <c r="BG37" s="49"/>
      <c r="BH37" s="49"/>
      <c r="BI37" s="49"/>
      <c r="BJ37" s="49"/>
      <c r="BK37" s="49"/>
      <c r="BL37" s="49"/>
      <c r="BM37" s="139">
        <f t="shared" ref="BM37" si="55">+$B37</f>
        <v>31</v>
      </c>
      <c r="BN37" s="140"/>
      <c r="BO37" s="49"/>
      <c r="BP37" s="49"/>
      <c r="BQ37" s="122"/>
      <c r="BR37" s="42"/>
      <c r="BS37" s="65"/>
    </row>
    <row r="38" spans="1:71" x14ac:dyDescent="0.2">
      <c r="A38" s="129"/>
      <c r="B38" s="50">
        <f>IF(Teams!B33&lt;&gt;"", Teams!B33,"")</f>
        <v>32</v>
      </c>
      <c r="C38" s="51" t="str">
        <f>IF(Teams!C33&lt;&gt;"", Teams!C33,"")</f>
        <v>Team 32</v>
      </c>
      <c r="D38" s="132"/>
      <c r="E38" s="4"/>
      <c r="F38" s="4"/>
      <c r="G38" s="4"/>
      <c r="H38" s="112">
        <f t="shared" si="52"/>
        <v>32</v>
      </c>
      <c r="I38" s="112"/>
      <c r="J38" s="112"/>
      <c r="K38" s="4"/>
      <c r="L38" s="4"/>
      <c r="M38" s="4"/>
      <c r="N38" s="109">
        <f t="shared" si="53"/>
        <v>32</v>
      </c>
      <c r="O38" s="110"/>
      <c r="P38" s="111"/>
      <c r="Q38" s="132"/>
      <c r="R38" s="4"/>
      <c r="S38" s="4"/>
      <c r="T38" s="4"/>
      <c r="U38" s="4"/>
      <c r="V38" s="4"/>
      <c r="W38" s="4"/>
      <c r="X38" s="113">
        <f>+$B38</f>
        <v>32</v>
      </c>
      <c r="Y38" s="113"/>
      <c r="Z38" s="113"/>
      <c r="AA38" s="4"/>
      <c r="AB38" s="4"/>
      <c r="AC38" s="4"/>
      <c r="AD38" s="132"/>
      <c r="AE38" s="4"/>
      <c r="AF38" s="4"/>
      <c r="AG38" s="114">
        <f>+$B38</f>
        <v>32</v>
      </c>
      <c r="AH38" s="114"/>
      <c r="AI38" s="4"/>
      <c r="AJ38" s="4"/>
      <c r="AK38" s="4"/>
      <c r="AL38" s="4"/>
      <c r="AM38" s="138">
        <f>+$B38</f>
        <v>32</v>
      </c>
      <c r="AN38" s="138"/>
      <c r="AO38" s="4"/>
      <c r="AP38" s="4"/>
      <c r="AQ38" s="132"/>
      <c r="AR38" s="7"/>
      <c r="AS38" s="7"/>
      <c r="AT38" s="7"/>
      <c r="AU38" s="7"/>
      <c r="AV38" s="7"/>
      <c r="AW38" s="7"/>
      <c r="AX38" s="7"/>
      <c r="AY38" s="7"/>
      <c r="AZ38" s="4"/>
      <c r="BA38" s="4"/>
      <c r="BB38" s="139">
        <f t="shared" si="54"/>
        <v>32</v>
      </c>
      <c r="BC38" s="140"/>
      <c r="BD38" s="132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124">
        <f t="shared" ref="BO38" si="56">+$B38</f>
        <v>32</v>
      </c>
      <c r="BP38" s="125"/>
      <c r="BQ38" s="122"/>
      <c r="BR38" s="65"/>
      <c r="BS38" s="65"/>
    </row>
    <row r="39" spans="1:71" x14ac:dyDescent="0.2">
      <c r="A39" s="129"/>
      <c r="B39" s="52">
        <f>IF(Teams!B34&lt;&gt;"", Teams!B34,"")</f>
        <v>33</v>
      </c>
      <c r="C39" s="53" t="str">
        <f>IF(Teams!C34&lt;&gt;"", Teams!C34,"")</f>
        <v>Team 33</v>
      </c>
      <c r="D39" s="132"/>
      <c r="E39" s="44"/>
      <c r="F39" s="44"/>
      <c r="G39" s="44"/>
      <c r="H39" s="112">
        <f t="shared" si="52"/>
        <v>33</v>
      </c>
      <c r="I39" s="112"/>
      <c r="J39" s="112"/>
      <c r="K39" s="44"/>
      <c r="L39" s="44"/>
      <c r="M39" s="44"/>
      <c r="N39" s="109">
        <f t="shared" si="53"/>
        <v>33</v>
      </c>
      <c r="O39" s="110"/>
      <c r="P39" s="111"/>
      <c r="Q39" s="132"/>
      <c r="R39" s="49"/>
      <c r="S39" s="49"/>
      <c r="T39" s="49"/>
      <c r="U39" s="49"/>
      <c r="V39" s="49"/>
      <c r="W39" s="49"/>
      <c r="X39" s="113">
        <f>+$B39</f>
        <v>33</v>
      </c>
      <c r="Y39" s="113"/>
      <c r="Z39" s="113"/>
      <c r="AA39" s="49"/>
      <c r="AB39" s="48"/>
      <c r="AC39" s="48"/>
      <c r="AD39" s="132"/>
      <c r="AE39" s="48"/>
      <c r="AF39" s="48"/>
      <c r="AG39" s="48"/>
      <c r="AH39" s="48"/>
      <c r="AI39" s="115">
        <f>+$B39</f>
        <v>33</v>
      </c>
      <c r="AJ39" s="115"/>
      <c r="AK39" s="48"/>
      <c r="AL39" s="48"/>
      <c r="AM39" s="48"/>
      <c r="AN39" s="48"/>
      <c r="AO39" s="114">
        <f>+$B39</f>
        <v>33</v>
      </c>
      <c r="AP39" s="114"/>
      <c r="AQ39" s="132"/>
      <c r="AR39" s="49"/>
      <c r="AS39" s="49"/>
      <c r="AT39" s="49"/>
      <c r="AU39" s="49"/>
      <c r="AV39" s="49"/>
      <c r="AW39" s="49"/>
      <c r="AX39" s="49"/>
      <c r="AY39" s="49"/>
      <c r="AZ39" s="48"/>
      <c r="BA39" s="48"/>
      <c r="BB39" s="126">
        <f t="shared" si="54"/>
        <v>33</v>
      </c>
      <c r="BC39" s="127"/>
      <c r="BD39" s="132"/>
      <c r="BE39" s="49"/>
      <c r="BF39" s="49"/>
      <c r="BG39" s="49"/>
      <c r="BH39" s="49"/>
      <c r="BI39" s="49"/>
      <c r="BJ39" s="49"/>
      <c r="BK39" s="49"/>
      <c r="BL39" s="49"/>
      <c r="BM39" s="124">
        <f t="shared" ref="BM39" si="57">+$B39</f>
        <v>33</v>
      </c>
      <c r="BN39" s="125"/>
      <c r="BO39" s="49"/>
      <c r="BP39" s="49"/>
      <c r="BQ39" s="122"/>
      <c r="BR39" s="65"/>
      <c r="BS39" s="65"/>
    </row>
    <row r="40" spans="1:71" x14ac:dyDescent="0.2">
      <c r="A40" s="129"/>
      <c r="B40" s="18">
        <f>IF(Teams!B35&lt;&gt;"", Teams!B35,"")</f>
        <v>34</v>
      </c>
      <c r="C40" s="31" t="str">
        <f>IF(Teams!C35&lt;&gt;"", Teams!C35,"")</f>
        <v>Team 34</v>
      </c>
      <c r="D40" s="132"/>
      <c r="E40" s="7"/>
      <c r="F40" s="7"/>
      <c r="G40" s="7"/>
      <c r="H40" s="109">
        <f t="shared" si="52"/>
        <v>34</v>
      </c>
      <c r="I40" s="110"/>
      <c r="J40" s="111"/>
      <c r="K40" s="7"/>
      <c r="L40" s="7"/>
      <c r="M40" s="7"/>
      <c r="N40" s="112">
        <f t="shared" si="53"/>
        <v>34</v>
      </c>
      <c r="O40" s="112"/>
      <c r="P40" s="112"/>
      <c r="Q40" s="132"/>
      <c r="R40" s="7"/>
      <c r="S40" s="7"/>
      <c r="T40" s="7"/>
      <c r="U40" s="7"/>
      <c r="V40" s="7"/>
      <c r="W40" s="7"/>
      <c r="X40" s="5"/>
      <c r="Y40" s="5"/>
      <c r="Z40" s="5"/>
      <c r="AA40" s="113">
        <f t="shared" ref="AA40:AA41" si="58">+$B40</f>
        <v>34</v>
      </c>
      <c r="AB40" s="113"/>
      <c r="AC40" s="113"/>
      <c r="AD40" s="132"/>
      <c r="AE40" s="4"/>
      <c r="AF40" s="4"/>
      <c r="AG40" s="4"/>
      <c r="AH40" s="4"/>
      <c r="AI40" s="115">
        <f>+$B40</f>
        <v>34</v>
      </c>
      <c r="AJ40" s="115"/>
      <c r="AK40" s="4"/>
      <c r="AL40" s="4"/>
      <c r="AM40" s="4"/>
      <c r="AN40" s="4"/>
      <c r="AO40" s="108">
        <f>+$B40</f>
        <v>34</v>
      </c>
      <c r="AP40" s="108"/>
      <c r="AQ40" s="132"/>
      <c r="AR40" s="7"/>
      <c r="AS40" s="7"/>
      <c r="AT40" s="7"/>
      <c r="AU40" s="7"/>
      <c r="AV40" s="7"/>
      <c r="AW40" s="7"/>
      <c r="AX40" s="7"/>
      <c r="AY40" s="7"/>
      <c r="AZ40" s="4"/>
      <c r="BA40" s="4"/>
      <c r="BB40" s="124">
        <f t="shared" si="54"/>
        <v>34</v>
      </c>
      <c r="BC40" s="125"/>
      <c r="BD40" s="132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126">
        <f t="shared" ref="BO40:BO41" si="59">+$B40</f>
        <v>34</v>
      </c>
      <c r="BP40" s="127"/>
      <c r="BQ40" s="122"/>
      <c r="BR40" s="65"/>
      <c r="BS40" s="65"/>
    </row>
    <row r="41" spans="1:71" x14ac:dyDescent="0.2">
      <c r="A41" s="129"/>
      <c r="B41" s="52">
        <f>IF(Teams!B36&lt;&gt;"", Teams!B36,"")</f>
        <v>35</v>
      </c>
      <c r="C41" s="53" t="str">
        <f>IF(Teams!C36&lt;&gt;"", Teams!C36,"")</f>
        <v>Team 35</v>
      </c>
      <c r="D41" s="132"/>
      <c r="E41" s="44"/>
      <c r="F41" s="44"/>
      <c r="G41" s="44"/>
      <c r="H41" s="109">
        <f t="shared" si="52"/>
        <v>35</v>
      </c>
      <c r="I41" s="110"/>
      <c r="J41" s="111"/>
      <c r="K41" s="44"/>
      <c r="L41" s="44"/>
      <c r="M41" s="44"/>
      <c r="N41" s="112">
        <f t="shared" si="53"/>
        <v>35</v>
      </c>
      <c r="O41" s="112"/>
      <c r="P41" s="112"/>
      <c r="Q41" s="132"/>
      <c r="R41" s="49"/>
      <c r="S41" s="49"/>
      <c r="T41" s="49"/>
      <c r="U41" s="49"/>
      <c r="V41" s="49"/>
      <c r="W41" s="49"/>
      <c r="X41" s="49"/>
      <c r="Y41" s="49"/>
      <c r="Z41" s="49"/>
      <c r="AA41" s="113">
        <f t="shared" si="58"/>
        <v>35</v>
      </c>
      <c r="AB41" s="113"/>
      <c r="AC41" s="113"/>
      <c r="AD41" s="132"/>
      <c r="AE41" s="48"/>
      <c r="AF41" s="48"/>
      <c r="AG41" s="48"/>
      <c r="AH41" s="48"/>
      <c r="AI41" s="108">
        <f>+$B41</f>
        <v>35</v>
      </c>
      <c r="AJ41" s="108"/>
      <c r="AK41" s="48"/>
      <c r="AL41" s="48"/>
      <c r="AM41" s="48"/>
      <c r="AN41" s="48"/>
      <c r="AO41" s="114">
        <f>+$B41</f>
        <v>35</v>
      </c>
      <c r="AP41" s="114"/>
      <c r="AQ41" s="132"/>
      <c r="AR41" s="49"/>
      <c r="AS41" s="49"/>
      <c r="AT41" s="49"/>
      <c r="AU41" s="49"/>
      <c r="AV41" s="49"/>
      <c r="AW41" s="49"/>
      <c r="AX41" s="49"/>
      <c r="AY41" s="49"/>
      <c r="AZ41" s="48"/>
      <c r="BA41" s="48"/>
      <c r="BB41" s="139">
        <f t="shared" si="54"/>
        <v>35</v>
      </c>
      <c r="BC41" s="140"/>
      <c r="BD41" s="132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139">
        <f t="shared" si="59"/>
        <v>35</v>
      </c>
      <c r="BP41" s="140"/>
      <c r="BQ41" s="122"/>
      <c r="BR41" s="65"/>
      <c r="BS41" s="65"/>
    </row>
    <row r="42" spans="1:71" x14ac:dyDescent="0.2">
      <c r="A42" s="130"/>
      <c r="B42" s="18">
        <f>IF(Teams!B37&lt;&gt;"", Teams!B37,"")</f>
        <v>36</v>
      </c>
      <c r="C42" s="31" t="str">
        <f>IF(Teams!C37&lt;&gt;"", Teams!C37,"")</f>
        <v>Team 36</v>
      </c>
      <c r="D42" s="133"/>
      <c r="E42" s="5"/>
      <c r="F42" s="5"/>
      <c r="G42" s="5"/>
      <c r="H42" s="109">
        <f t="shared" si="52"/>
        <v>36</v>
      </c>
      <c r="I42" s="110"/>
      <c r="J42" s="111"/>
      <c r="K42" s="7"/>
      <c r="L42" s="7"/>
      <c r="M42" s="7"/>
      <c r="N42" s="112">
        <f t="shared" si="53"/>
        <v>36</v>
      </c>
      <c r="O42" s="112"/>
      <c r="P42" s="112"/>
      <c r="Q42" s="133"/>
      <c r="R42" s="5"/>
      <c r="S42" s="5"/>
      <c r="T42" s="5"/>
      <c r="U42" s="5"/>
      <c r="V42" s="5"/>
      <c r="W42" s="5"/>
      <c r="X42" s="5"/>
      <c r="Y42" s="5"/>
      <c r="Z42" s="5"/>
      <c r="AA42" s="113">
        <f>+$B42</f>
        <v>36</v>
      </c>
      <c r="AB42" s="113"/>
      <c r="AC42" s="113"/>
      <c r="AD42" s="132"/>
      <c r="AE42" s="4"/>
      <c r="AF42" s="4"/>
      <c r="AG42" s="4"/>
      <c r="AH42" s="4"/>
      <c r="AI42" s="108">
        <f>+$B42</f>
        <v>36</v>
      </c>
      <c r="AJ42" s="108"/>
      <c r="AK42" s="4"/>
      <c r="AL42" s="4"/>
      <c r="AM42" s="4"/>
      <c r="AN42" s="4"/>
      <c r="AO42" s="108">
        <f>+$B42</f>
        <v>36</v>
      </c>
      <c r="AP42" s="108"/>
      <c r="AQ42" s="133"/>
      <c r="AR42" s="7"/>
      <c r="AS42" s="7"/>
      <c r="AT42" s="7"/>
      <c r="AU42" s="7"/>
      <c r="AV42" s="7"/>
      <c r="AW42" s="7"/>
      <c r="AX42" s="7"/>
      <c r="AY42" s="7"/>
      <c r="AZ42" s="4"/>
      <c r="BA42" s="4"/>
      <c r="BB42" s="126">
        <f t="shared" si="54"/>
        <v>36</v>
      </c>
      <c r="BC42" s="127"/>
      <c r="BD42" s="133"/>
      <c r="BE42" s="7"/>
      <c r="BF42" s="7"/>
      <c r="BG42" s="7"/>
      <c r="BH42" s="7"/>
      <c r="BI42" s="7"/>
      <c r="BJ42" s="7"/>
      <c r="BK42" s="7"/>
      <c r="BL42" s="7"/>
      <c r="BM42" s="126">
        <f t="shared" ref="BM42" si="60">+$B42</f>
        <v>36</v>
      </c>
      <c r="BN42" s="127"/>
      <c r="BO42" s="7"/>
      <c r="BP42" s="7"/>
      <c r="BQ42" s="123"/>
      <c r="BR42" s="65"/>
      <c r="BS42" s="65"/>
    </row>
    <row r="43" spans="1:71" ht="13.5" thickBot="1" x14ac:dyDescent="0.25">
      <c r="A43" s="68"/>
      <c r="B43" s="42"/>
      <c r="C43" s="42"/>
      <c r="D43" s="42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66"/>
      <c r="BR43" s="65"/>
      <c r="BS43" s="65"/>
    </row>
    <row r="44" spans="1:71" x14ac:dyDescent="0.2">
      <c r="A44" s="68"/>
      <c r="B44" s="42"/>
      <c r="C44" s="66"/>
      <c r="D44" s="67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1"/>
      <c r="AO44" s="42"/>
      <c r="AP44" s="42"/>
      <c r="AQ44" s="67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1"/>
      <c r="BQ44" s="66"/>
      <c r="BR44" s="65"/>
      <c r="BS44" s="65"/>
    </row>
    <row r="45" spans="1:71" ht="20.25" x14ac:dyDescent="0.3">
      <c r="A45" s="68"/>
      <c r="B45" s="42"/>
      <c r="C45" s="42"/>
      <c r="D45" s="68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72"/>
      <c r="R45" s="42"/>
      <c r="S45" s="42"/>
      <c r="T45" s="73" t="s">
        <v>11</v>
      </c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66"/>
      <c r="AO45" s="42"/>
      <c r="AP45" s="42"/>
      <c r="AQ45" s="68"/>
      <c r="AR45" s="42"/>
      <c r="AS45" s="42"/>
      <c r="AT45" s="74" t="s">
        <v>47</v>
      </c>
      <c r="AU45" s="42"/>
      <c r="AV45" s="75" t="s">
        <v>50</v>
      </c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66"/>
      <c r="BQ45" s="66"/>
      <c r="BR45" s="65"/>
      <c r="BS45" s="65"/>
    </row>
    <row r="46" spans="1:71" ht="18" x14ac:dyDescent="0.25">
      <c r="A46" s="68"/>
      <c r="B46" s="42"/>
      <c r="C46" s="66"/>
      <c r="D46" s="68"/>
      <c r="E46" s="116"/>
      <c r="F46" s="117"/>
      <c r="G46" s="118"/>
      <c r="H46" s="42"/>
      <c r="I46" s="75" t="s">
        <v>13</v>
      </c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119"/>
      <c r="Y46" s="120"/>
      <c r="Z46" s="75"/>
      <c r="AA46" s="75" t="s">
        <v>46</v>
      </c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66"/>
      <c r="AO46" s="42"/>
      <c r="AP46" s="42"/>
      <c r="AQ46" s="68"/>
      <c r="AR46" s="42"/>
      <c r="AS46" s="42"/>
      <c r="AT46" s="42"/>
      <c r="AU46" s="42"/>
      <c r="AV46" s="75" t="s">
        <v>52</v>
      </c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66"/>
      <c r="BQ46" s="66"/>
      <c r="BR46" s="65"/>
      <c r="BS46" s="65"/>
    </row>
    <row r="47" spans="1:71" ht="18" x14ac:dyDescent="0.25">
      <c r="A47" s="68"/>
      <c r="B47" s="42"/>
      <c r="C47" s="42"/>
      <c r="D47" s="68"/>
      <c r="E47" s="105"/>
      <c r="F47" s="106"/>
      <c r="G47" s="107"/>
      <c r="H47" s="42"/>
      <c r="I47" s="75" t="s">
        <v>23</v>
      </c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55"/>
      <c r="Y47" s="56"/>
      <c r="Z47" s="75"/>
      <c r="AA47" s="75" t="s">
        <v>48</v>
      </c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66"/>
      <c r="AO47" s="42"/>
      <c r="AP47" s="42"/>
      <c r="AQ47" s="68"/>
      <c r="AR47" s="42"/>
      <c r="AS47" s="42"/>
      <c r="AT47" s="42"/>
      <c r="AU47" s="42"/>
      <c r="AV47" s="75" t="s">
        <v>49</v>
      </c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66"/>
      <c r="BQ47" s="66"/>
      <c r="BR47" s="65"/>
      <c r="BS47" s="65"/>
    </row>
    <row r="48" spans="1:71" ht="18" x14ac:dyDescent="0.25">
      <c r="A48" s="68"/>
      <c r="B48" s="42"/>
      <c r="C48" s="42"/>
      <c r="D48" s="68"/>
      <c r="E48" s="102"/>
      <c r="F48" s="103"/>
      <c r="G48" s="104"/>
      <c r="H48" s="42"/>
      <c r="I48" s="75" t="s">
        <v>22</v>
      </c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57"/>
      <c r="Y48" s="58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66"/>
      <c r="AO48" s="42"/>
      <c r="AP48" s="42"/>
      <c r="AQ48" s="68"/>
      <c r="AR48" s="42"/>
      <c r="AS48" s="42"/>
      <c r="AT48" s="42"/>
      <c r="AU48" s="42"/>
      <c r="AV48" s="75" t="s">
        <v>51</v>
      </c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66"/>
      <c r="BQ48" s="66"/>
      <c r="BR48" s="78"/>
      <c r="BS48" s="65"/>
    </row>
    <row r="49" spans="1:71" ht="13.5" thickBot="1" x14ac:dyDescent="0.25">
      <c r="A49" s="68"/>
      <c r="B49" s="42"/>
      <c r="C49" s="66"/>
      <c r="D49" s="69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7"/>
      <c r="AO49" s="42"/>
      <c r="AP49" s="42"/>
      <c r="AQ49" s="69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7"/>
      <c r="BQ49" s="66"/>
      <c r="BR49" s="65"/>
      <c r="BS49" s="65"/>
    </row>
    <row r="50" spans="1:71" x14ac:dyDescent="0.2">
      <c r="A50" s="68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66"/>
      <c r="BR50" s="65"/>
      <c r="BS50" s="65"/>
    </row>
    <row r="51" spans="1:71" x14ac:dyDescent="0.2">
      <c r="A51" s="68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66"/>
      <c r="BR51" s="65"/>
      <c r="BS51" s="65"/>
    </row>
    <row r="52" spans="1:71" ht="13.5" thickBot="1" x14ac:dyDescent="0.25">
      <c r="A52" s="69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7"/>
      <c r="BR52" s="65"/>
      <c r="BS52" s="65"/>
    </row>
    <row r="53" spans="1:71" x14ac:dyDescent="0.2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</row>
    <row r="54" spans="1:71" x14ac:dyDescent="0.2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</row>
    <row r="55" spans="1:71" x14ac:dyDescent="0.2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</row>
    <row r="56" spans="1:71" x14ac:dyDescent="0.2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</row>
    <row r="57" spans="1:71" x14ac:dyDescent="0.2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</row>
    <row r="58" spans="1:71" x14ac:dyDescent="0.2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</row>
    <row r="59" spans="1:71" ht="12.75" customHeight="1" x14ac:dyDescent="0.2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</row>
    <row r="60" spans="1:71" x14ac:dyDescent="0.2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</row>
    <row r="73" ht="12.75" customHeight="1" x14ac:dyDescent="0.2"/>
  </sheetData>
  <mergeCells count="289">
    <mergeCell ref="BO41:BP41"/>
    <mergeCell ref="H22:J22"/>
    <mergeCell ref="BM42:BN42"/>
    <mergeCell ref="E3:F3"/>
    <mergeCell ref="E4:F4"/>
    <mergeCell ref="E5:F5"/>
    <mergeCell ref="E6:F6"/>
    <mergeCell ref="M7:N7"/>
    <mergeCell ref="G8:H8"/>
    <mergeCell ref="G9:H9"/>
    <mergeCell ref="G10:H10"/>
    <mergeCell ref="O11:P11"/>
    <mergeCell ref="AI41:AJ41"/>
    <mergeCell ref="AO41:AP41"/>
    <mergeCell ref="BB41:BC41"/>
    <mergeCell ref="BO40:BP40"/>
    <mergeCell ref="BI27:BJ27"/>
    <mergeCell ref="BK28:BL28"/>
    <mergeCell ref="BM31:BN31"/>
    <mergeCell ref="BO32:BP32"/>
    <mergeCell ref="BM33:BN33"/>
    <mergeCell ref="BO34:BP34"/>
    <mergeCell ref="BM35:BN35"/>
    <mergeCell ref="BO36:BP36"/>
    <mergeCell ref="BE7:BF7"/>
    <mergeCell ref="BG6:BH6"/>
    <mergeCell ref="BE13:BF13"/>
    <mergeCell ref="BG12:BH12"/>
    <mergeCell ref="BE9:BF9"/>
    <mergeCell ref="BG8:BH8"/>
    <mergeCell ref="I12:J12"/>
    <mergeCell ref="I13:J13"/>
    <mergeCell ref="AM37:AN37"/>
    <mergeCell ref="AA9:AC9"/>
    <mergeCell ref="AK9:AM9"/>
    <mergeCell ref="U10:W10"/>
    <mergeCell ref="AA10:AC10"/>
    <mergeCell ref="AK10:AM10"/>
    <mergeCell ref="AH7:AJ7"/>
    <mergeCell ref="AM36:AN36"/>
    <mergeCell ref="AM35:AN35"/>
    <mergeCell ref="AE30:AP30"/>
    <mergeCell ref="AN25:AP25"/>
    <mergeCell ref="AH23:AJ23"/>
    <mergeCell ref="AQ16:AQ28"/>
    <mergeCell ref="AR16:BP16"/>
    <mergeCell ref="AN28:AP28"/>
    <mergeCell ref="AX27:AY27"/>
    <mergeCell ref="BO38:BP38"/>
    <mergeCell ref="BI17:BJ17"/>
    <mergeCell ref="BK18:BL18"/>
    <mergeCell ref="BI19:BJ19"/>
    <mergeCell ref="BK20:BL20"/>
    <mergeCell ref="BI21:BJ21"/>
    <mergeCell ref="BK22:BL22"/>
    <mergeCell ref="BI23:BJ23"/>
    <mergeCell ref="BK24:BL24"/>
    <mergeCell ref="BK26:BL26"/>
    <mergeCell ref="BM37:BN37"/>
    <mergeCell ref="AM38:AN38"/>
    <mergeCell ref="I14:J14"/>
    <mergeCell ref="O14:P14"/>
    <mergeCell ref="U14:W14"/>
    <mergeCell ref="AA14:AC14"/>
    <mergeCell ref="AH24:AJ24"/>
    <mergeCell ref="AO39:AP39"/>
    <mergeCell ref="AO42:AP42"/>
    <mergeCell ref="BG14:BH14"/>
    <mergeCell ref="AZ32:BA32"/>
    <mergeCell ref="AZ33:BA33"/>
    <mergeCell ref="AZ34:BA34"/>
    <mergeCell ref="AZ35:BA35"/>
    <mergeCell ref="AZ36:BA36"/>
    <mergeCell ref="BB37:BC37"/>
    <mergeCell ref="BB38:BC38"/>
    <mergeCell ref="BB39:BC39"/>
    <mergeCell ref="BB40:BC40"/>
    <mergeCell ref="AV20:AW20"/>
    <mergeCell ref="AV21:AW21"/>
    <mergeCell ref="AV22:AW22"/>
    <mergeCell ref="AX23:AY23"/>
    <mergeCell ref="AX24:AY24"/>
    <mergeCell ref="AX25:AY25"/>
    <mergeCell ref="AO40:AP40"/>
    <mergeCell ref="AQ30:AQ42"/>
    <mergeCell ref="AR30:BP30"/>
    <mergeCell ref="BD31:BD42"/>
    <mergeCell ref="AN14:AP14"/>
    <mergeCell ref="BM39:BN39"/>
    <mergeCell ref="BQ2:BQ14"/>
    <mergeCell ref="M10:N10"/>
    <mergeCell ref="O12:P12"/>
    <mergeCell ref="O13:P13"/>
    <mergeCell ref="U12:W12"/>
    <mergeCell ref="AA12:AC12"/>
    <mergeCell ref="U13:W13"/>
    <mergeCell ref="AA13:AC13"/>
    <mergeCell ref="AN12:AP12"/>
    <mergeCell ref="AN13:AP13"/>
    <mergeCell ref="AR6:AS6"/>
    <mergeCell ref="AR4:AS4"/>
    <mergeCell ref="BE3:BF3"/>
    <mergeCell ref="M8:N8"/>
    <mergeCell ref="R8:T8"/>
    <mergeCell ref="X8:Z8"/>
    <mergeCell ref="AH8:AJ8"/>
    <mergeCell ref="U9:W9"/>
    <mergeCell ref="BE5:BF5"/>
    <mergeCell ref="BG4:BH4"/>
    <mergeCell ref="BE11:BF11"/>
    <mergeCell ref="BG10:BH10"/>
    <mergeCell ref="D2:D14"/>
    <mergeCell ref="Q2:Q14"/>
    <mergeCell ref="AD2:AD14"/>
    <mergeCell ref="AQ2:AQ14"/>
    <mergeCell ref="BD3:BD14"/>
    <mergeCell ref="AR7:AS7"/>
    <mergeCell ref="AR5:AS5"/>
    <mergeCell ref="AR8:AS8"/>
    <mergeCell ref="AT9:AU9"/>
    <mergeCell ref="AT10:AU10"/>
    <mergeCell ref="AT11:AU11"/>
    <mergeCell ref="AT12:AU12"/>
    <mergeCell ref="AT13:AU13"/>
    <mergeCell ref="AT14:AU14"/>
    <mergeCell ref="E2:P2"/>
    <mergeCell ref="R2:AC2"/>
    <mergeCell ref="R7:T7"/>
    <mergeCell ref="X7:Z7"/>
    <mergeCell ref="M9:N9"/>
    <mergeCell ref="AR3:AS3"/>
    <mergeCell ref="A2:A14"/>
    <mergeCell ref="AE2:AP2"/>
    <mergeCell ref="AR2:BP2"/>
    <mergeCell ref="K3:L3"/>
    <mergeCell ref="R3:T3"/>
    <mergeCell ref="X3:Z3"/>
    <mergeCell ref="AE3:AG3"/>
    <mergeCell ref="K6:L6"/>
    <mergeCell ref="R6:T6"/>
    <mergeCell ref="X6:Z6"/>
    <mergeCell ref="AH6:AJ6"/>
    <mergeCell ref="K5:L5"/>
    <mergeCell ref="R5:T5"/>
    <mergeCell ref="X5:Z5"/>
    <mergeCell ref="AE5:AG5"/>
    <mergeCell ref="K4:L4"/>
    <mergeCell ref="R4:T4"/>
    <mergeCell ref="X4:Z4"/>
    <mergeCell ref="AE4:AG4"/>
    <mergeCell ref="G7:H7"/>
    <mergeCell ref="I11:J11"/>
    <mergeCell ref="U11:W11"/>
    <mergeCell ref="AA11:AC11"/>
    <mergeCell ref="AK11:AM11"/>
    <mergeCell ref="A16:A28"/>
    <mergeCell ref="D16:D28"/>
    <mergeCell ref="E16:P16"/>
    <mergeCell ref="Q16:Q28"/>
    <mergeCell ref="R16:AC16"/>
    <mergeCell ref="AD16:AD28"/>
    <mergeCell ref="Z21:AA21"/>
    <mergeCell ref="K25:M25"/>
    <mergeCell ref="V25:W25"/>
    <mergeCell ref="H21:J21"/>
    <mergeCell ref="T21:U21"/>
    <mergeCell ref="N27:P27"/>
    <mergeCell ref="N28:P28"/>
    <mergeCell ref="V27:W27"/>
    <mergeCell ref="V28:W28"/>
    <mergeCell ref="Z24:AA24"/>
    <mergeCell ref="AB25:AC25"/>
    <mergeCell ref="AB27:AC27"/>
    <mergeCell ref="AB28:AC28"/>
    <mergeCell ref="T24:U24"/>
    <mergeCell ref="T23:U23"/>
    <mergeCell ref="Z23:AA23"/>
    <mergeCell ref="N26:P26"/>
    <mergeCell ref="V26:W26"/>
    <mergeCell ref="BQ16:BQ28"/>
    <mergeCell ref="E17:G17"/>
    <mergeCell ref="R17:S17"/>
    <mergeCell ref="X17:Y17"/>
    <mergeCell ref="AE17:AG17"/>
    <mergeCell ref="AK17:AM17"/>
    <mergeCell ref="E19:G19"/>
    <mergeCell ref="R19:S19"/>
    <mergeCell ref="X19:Y19"/>
    <mergeCell ref="AE19:AG19"/>
    <mergeCell ref="AK19:AM19"/>
    <mergeCell ref="BD17:BD28"/>
    <mergeCell ref="E18:G18"/>
    <mergeCell ref="R18:S18"/>
    <mergeCell ref="X18:Y18"/>
    <mergeCell ref="AE18:AG18"/>
    <mergeCell ref="AK18:AM18"/>
    <mergeCell ref="H20:J20"/>
    <mergeCell ref="R20:S20"/>
    <mergeCell ref="X20:Y20"/>
    <mergeCell ref="AB26:AC26"/>
    <mergeCell ref="AH26:AJ26"/>
    <mergeCell ref="AN26:AP26"/>
    <mergeCell ref="AX26:AY26"/>
    <mergeCell ref="AX28:AY28"/>
    <mergeCell ref="AE20:AG20"/>
    <mergeCell ref="BI25:BJ25"/>
    <mergeCell ref="AV17:AW17"/>
    <mergeCell ref="AV18:AW18"/>
    <mergeCell ref="AV19:AW19"/>
    <mergeCell ref="AN27:AP27"/>
    <mergeCell ref="AN23:AP23"/>
    <mergeCell ref="AH28:AJ28"/>
    <mergeCell ref="AE16:AP16"/>
    <mergeCell ref="AK20:AM20"/>
    <mergeCell ref="AE21:AG21"/>
    <mergeCell ref="AK21:AM21"/>
    <mergeCell ref="T22:U22"/>
    <mergeCell ref="Z22:AA22"/>
    <mergeCell ref="K24:M24"/>
    <mergeCell ref="K23:M23"/>
    <mergeCell ref="AH27:AJ27"/>
    <mergeCell ref="AH25:AJ25"/>
    <mergeCell ref="AN24:AP24"/>
    <mergeCell ref="AE22:AG22"/>
    <mergeCell ref="AK22:AM22"/>
    <mergeCell ref="A30:A42"/>
    <mergeCell ref="D30:D42"/>
    <mergeCell ref="E30:P30"/>
    <mergeCell ref="Q30:Q42"/>
    <mergeCell ref="R30:AC30"/>
    <mergeCell ref="AD30:AD42"/>
    <mergeCell ref="K33:M33"/>
    <mergeCell ref="R33:T33"/>
    <mergeCell ref="H37:J37"/>
    <mergeCell ref="N37:P37"/>
    <mergeCell ref="K34:M34"/>
    <mergeCell ref="U34:W34"/>
    <mergeCell ref="E35:G35"/>
    <mergeCell ref="K35:M35"/>
    <mergeCell ref="U35:W35"/>
    <mergeCell ref="X37:Z37"/>
    <mergeCell ref="H42:J42"/>
    <mergeCell ref="H39:J39"/>
    <mergeCell ref="N39:P39"/>
    <mergeCell ref="X39:Z39"/>
    <mergeCell ref="H38:J38"/>
    <mergeCell ref="N38:P38"/>
    <mergeCell ref="BQ30:BQ42"/>
    <mergeCell ref="E31:G31"/>
    <mergeCell ref="K31:M31"/>
    <mergeCell ref="R31:T31"/>
    <mergeCell ref="AE31:AF31"/>
    <mergeCell ref="AK31:AL31"/>
    <mergeCell ref="E32:G32"/>
    <mergeCell ref="K32:M32"/>
    <mergeCell ref="R32:T32"/>
    <mergeCell ref="AE32:AF32"/>
    <mergeCell ref="E33:G33"/>
    <mergeCell ref="AE33:AF33"/>
    <mergeCell ref="AK33:AL33"/>
    <mergeCell ref="E34:G34"/>
    <mergeCell ref="H40:J40"/>
    <mergeCell ref="N40:P40"/>
    <mergeCell ref="AA40:AC40"/>
    <mergeCell ref="AE34:AF34"/>
    <mergeCell ref="AK34:AL34"/>
    <mergeCell ref="AG35:AH35"/>
    <mergeCell ref="AZ31:BA31"/>
    <mergeCell ref="BB42:BC42"/>
    <mergeCell ref="AK32:AL32"/>
    <mergeCell ref="AI39:AJ39"/>
    <mergeCell ref="E48:G48"/>
    <mergeCell ref="E47:G47"/>
    <mergeCell ref="AI42:AJ42"/>
    <mergeCell ref="E36:G36"/>
    <mergeCell ref="K36:M36"/>
    <mergeCell ref="U36:W36"/>
    <mergeCell ref="AG37:AH37"/>
    <mergeCell ref="X38:Z38"/>
    <mergeCell ref="AG38:AH38"/>
    <mergeCell ref="AI40:AJ40"/>
    <mergeCell ref="N42:P42"/>
    <mergeCell ref="AA42:AC42"/>
    <mergeCell ref="E46:G46"/>
    <mergeCell ref="X46:Y46"/>
    <mergeCell ref="AG36:AH36"/>
    <mergeCell ref="H41:J41"/>
    <mergeCell ref="N41:P41"/>
    <mergeCell ref="AA41:AC41"/>
  </mergeCells>
  <printOptions horizontalCentered="1" verticalCentered="1"/>
  <pageMargins left="0.25" right="0.25" top="0.75" bottom="0.75" header="0.3" footer="0.3"/>
  <pageSetup paperSize="123" scale="59" orientation="landscape" r:id="rId1"/>
  <headerFooter alignWithMargins="0">
    <oddHeader>&amp;C&amp;48Nexteer Ready, Set, LEGO! Master Schedule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74"/>
  <sheetViews>
    <sheetView zoomScaleNormal="100" workbookViewId="0">
      <selection activeCell="C74" sqref="C3:C94"/>
    </sheetView>
  </sheetViews>
  <sheetFormatPr defaultRowHeight="12.75" x14ac:dyDescent="0.2"/>
  <cols>
    <col min="1" max="1" width="9.140625" customWidth="1"/>
    <col min="2" max="2" width="10.5703125" customWidth="1"/>
    <col min="4" max="4" width="9.140625" style="15"/>
    <col min="5" max="5" width="34.42578125" bestFit="1" customWidth="1"/>
    <col min="6" max="6" width="9.140625" style="15"/>
    <col min="7" max="7" width="42.7109375" bestFit="1" customWidth="1"/>
  </cols>
  <sheetData>
    <row r="1" spans="1:7" x14ac:dyDescent="0.2">
      <c r="A1" s="10"/>
      <c r="B1" s="11"/>
      <c r="C1" s="11" t="s">
        <v>9</v>
      </c>
      <c r="D1" s="12" t="s">
        <v>15</v>
      </c>
      <c r="E1" s="35" t="s">
        <v>15</v>
      </c>
      <c r="F1" s="12" t="s">
        <v>17</v>
      </c>
      <c r="G1" s="35" t="s">
        <v>17</v>
      </c>
    </row>
    <row r="2" spans="1:7" x14ac:dyDescent="0.2">
      <c r="A2" s="8" t="s">
        <v>10</v>
      </c>
      <c r="B2" s="9" t="s">
        <v>18</v>
      </c>
      <c r="C2" s="9" t="s">
        <v>16</v>
      </c>
      <c r="D2" s="13" t="s">
        <v>12</v>
      </c>
      <c r="E2" s="36" t="s">
        <v>1</v>
      </c>
      <c r="F2" s="13" t="s">
        <v>12</v>
      </c>
      <c r="G2" s="36" t="s">
        <v>1</v>
      </c>
    </row>
    <row r="3" spans="1:7" x14ac:dyDescent="0.2">
      <c r="A3" s="6">
        <v>1</v>
      </c>
      <c r="B3" s="22">
        <v>0.375</v>
      </c>
      <c r="C3" s="93" t="s">
        <v>19</v>
      </c>
      <c r="D3" s="14">
        <v>1</v>
      </c>
      <c r="E3" s="19" t="s">
        <v>181</v>
      </c>
      <c r="F3" s="14">
        <v>2</v>
      </c>
      <c r="G3" s="19" t="s">
        <v>182</v>
      </c>
    </row>
    <row r="4" spans="1:7" x14ac:dyDescent="0.2">
      <c r="A4" s="37">
        <v>2</v>
      </c>
      <c r="B4" s="38">
        <v>0.375</v>
      </c>
      <c r="C4" s="94" t="s">
        <v>20</v>
      </c>
      <c r="D4" s="39">
        <v>3</v>
      </c>
      <c r="E4" s="40" t="s">
        <v>183</v>
      </c>
      <c r="F4" s="39">
        <v>4</v>
      </c>
      <c r="G4" s="40" t="s">
        <v>184</v>
      </c>
    </row>
    <row r="5" spans="1:7" x14ac:dyDescent="0.2">
      <c r="A5" s="6">
        <v>3</v>
      </c>
      <c r="B5" s="22">
        <v>0.38194444444444442</v>
      </c>
      <c r="C5" s="95" t="s">
        <v>21</v>
      </c>
      <c r="D5" s="14">
        <v>5</v>
      </c>
      <c r="E5" s="19" t="s">
        <v>185</v>
      </c>
      <c r="F5" s="14">
        <v>6</v>
      </c>
      <c r="G5" s="19" t="s">
        <v>186</v>
      </c>
    </row>
    <row r="6" spans="1:7" x14ac:dyDescent="0.2">
      <c r="A6" s="37">
        <v>4</v>
      </c>
      <c r="B6" s="38">
        <v>0.38194444444444442</v>
      </c>
      <c r="C6" s="93" t="s">
        <v>19</v>
      </c>
      <c r="D6" s="39">
        <v>7</v>
      </c>
      <c r="E6" s="40" t="s">
        <v>187</v>
      </c>
      <c r="F6" s="39">
        <v>8</v>
      </c>
      <c r="G6" s="40" t="s">
        <v>188</v>
      </c>
    </row>
    <row r="7" spans="1:7" x14ac:dyDescent="0.2">
      <c r="A7" s="6">
        <v>5</v>
      </c>
      <c r="B7" s="22">
        <v>0.3888888888888889</v>
      </c>
      <c r="C7" s="94" t="s">
        <v>20</v>
      </c>
      <c r="D7" s="14">
        <v>9</v>
      </c>
      <c r="E7" s="19" t="s">
        <v>189</v>
      </c>
      <c r="F7" s="14">
        <v>10</v>
      </c>
      <c r="G7" s="19" t="s">
        <v>190</v>
      </c>
    </row>
    <row r="8" spans="1:7" x14ac:dyDescent="0.2">
      <c r="A8" s="37">
        <v>6</v>
      </c>
      <c r="B8" s="38">
        <v>0.3888888888888889</v>
      </c>
      <c r="C8" s="95" t="s">
        <v>21</v>
      </c>
      <c r="D8" s="39">
        <v>11</v>
      </c>
      <c r="E8" s="40" t="s">
        <v>191</v>
      </c>
      <c r="F8" s="39">
        <v>12</v>
      </c>
      <c r="G8" s="40" t="s">
        <v>192</v>
      </c>
    </row>
    <row r="9" spans="1:7" x14ac:dyDescent="0.2">
      <c r="A9" s="6">
        <v>7</v>
      </c>
      <c r="B9" s="22">
        <v>0.39583333333333331</v>
      </c>
      <c r="C9" s="94" t="s">
        <v>20</v>
      </c>
      <c r="D9" s="14">
        <v>1</v>
      </c>
      <c r="E9" s="19" t="s">
        <v>181</v>
      </c>
      <c r="F9" s="14">
        <v>3</v>
      </c>
      <c r="G9" s="19" t="s">
        <v>183</v>
      </c>
    </row>
    <row r="10" spans="1:7" x14ac:dyDescent="0.2">
      <c r="A10" s="37">
        <v>8</v>
      </c>
      <c r="B10" s="38">
        <v>0.39583333333333331</v>
      </c>
      <c r="C10" s="95" t="s">
        <v>21</v>
      </c>
      <c r="D10" s="39">
        <v>2</v>
      </c>
      <c r="E10" s="40" t="s">
        <v>182</v>
      </c>
      <c r="F10" s="39">
        <v>4</v>
      </c>
      <c r="G10" s="40" t="s">
        <v>184</v>
      </c>
    </row>
    <row r="11" spans="1:7" x14ac:dyDescent="0.2">
      <c r="A11" s="6">
        <v>9</v>
      </c>
      <c r="B11" s="22">
        <v>0.40277777777777773</v>
      </c>
      <c r="C11" s="93" t="s">
        <v>19</v>
      </c>
      <c r="D11" s="14">
        <v>5</v>
      </c>
      <c r="E11" s="19" t="s">
        <v>185</v>
      </c>
      <c r="F11" s="14">
        <v>7</v>
      </c>
      <c r="G11" s="19" t="s">
        <v>187</v>
      </c>
    </row>
    <row r="12" spans="1:7" x14ac:dyDescent="0.2">
      <c r="A12" s="37">
        <v>10</v>
      </c>
      <c r="B12" s="38">
        <v>0.40277777777777773</v>
      </c>
      <c r="C12" s="94" t="s">
        <v>20</v>
      </c>
      <c r="D12" s="39">
        <v>6</v>
      </c>
      <c r="E12" s="40" t="s">
        <v>186</v>
      </c>
      <c r="F12" s="39">
        <v>8</v>
      </c>
      <c r="G12" s="40" t="s">
        <v>188</v>
      </c>
    </row>
    <row r="13" spans="1:7" x14ac:dyDescent="0.2">
      <c r="A13" s="6">
        <v>11</v>
      </c>
      <c r="B13" s="22">
        <v>0.40972222222222227</v>
      </c>
      <c r="C13" s="93" t="s">
        <v>19</v>
      </c>
      <c r="D13" s="14">
        <v>9</v>
      </c>
      <c r="E13" s="19" t="s">
        <v>189</v>
      </c>
      <c r="F13" s="14">
        <v>11</v>
      </c>
      <c r="G13" s="19" t="s">
        <v>191</v>
      </c>
    </row>
    <row r="14" spans="1:7" x14ac:dyDescent="0.2">
      <c r="A14" s="37">
        <v>12</v>
      </c>
      <c r="B14" s="38">
        <v>0.40972222222222227</v>
      </c>
      <c r="C14" s="95" t="s">
        <v>21</v>
      </c>
      <c r="D14" s="39">
        <v>10</v>
      </c>
      <c r="E14" s="40" t="s">
        <v>190</v>
      </c>
      <c r="F14" s="39">
        <v>12</v>
      </c>
      <c r="G14" s="40" t="s">
        <v>192</v>
      </c>
    </row>
    <row r="15" spans="1:7" x14ac:dyDescent="0.2">
      <c r="A15" s="6">
        <v>13</v>
      </c>
      <c r="B15" s="22">
        <v>0.4236111111111111</v>
      </c>
      <c r="C15" s="93" t="s">
        <v>19</v>
      </c>
      <c r="D15" s="14">
        <v>13</v>
      </c>
      <c r="E15" s="19" t="s">
        <v>193</v>
      </c>
      <c r="F15" s="14">
        <v>14</v>
      </c>
      <c r="G15" s="19" t="s">
        <v>194</v>
      </c>
    </row>
    <row r="16" spans="1:7" x14ac:dyDescent="0.2">
      <c r="A16" s="37">
        <v>14</v>
      </c>
      <c r="B16" s="38">
        <v>0.4236111111111111</v>
      </c>
      <c r="C16" s="94" t="s">
        <v>20</v>
      </c>
      <c r="D16" s="39">
        <v>15</v>
      </c>
      <c r="E16" s="40" t="s">
        <v>195</v>
      </c>
      <c r="F16" s="39">
        <v>16</v>
      </c>
      <c r="G16" s="40" t="s">
        <v>196</v>
      </c>
    </row>
    <row r="17" spans="1:7" x14ac:dyDescent="0.2">
      <c r="A17" s="6">
        <v>15</v>
      </c>
      <c r="B17" s="22">
        <v>0.43055555555555558</v>
      </c>
      <c r="C17" s="95" t="s">
        <v>21</v>
      </c>
      <c r="D17" s="14">
        <v>17</v>
      </c>
      <c r="E17" s="19" t="s">
        <v>197</v>
      </c>
      <c r="F17" s="14">
        <v>18</v>
      </c>
      <c r="G17" s="19" t="s">
        <v>198</v>
      </c>
    </row>
    <row r="18" spans="1:7" x14ac:dyDescent="0.2">
      <c r="A18" s="37">
        <v>16</v>
      </c>
      <c r="B18" s="38">
        <v>0.43055555555555558</v>
      </c>
      <c r="C18" s="93" t="s">
        <v>19</v>
      </c>
      <c r="D18" s="39">
        <v>19</v>
      </c>
      <c r="E18" s="40" t="s">
        <v>199</v>
      </c>
      <c r="F18" s="39">
        <v>20</v>
      </c>
      <c r="G18" s="40" t="s">
        <v>200</v>
      </c>
    </row>
    <row r="19" spans="1:7" x14ac:dyDescent="0.2">
      <c r="A19" s="6">
        <v>17</v>
      </c>
      <c r="B19" s="22">
        <v>0.4375</v>
      </c>
      <c r="C19" s="94" t="s">
        <v>20</v>
      </c>
      <c r="D19" s="14">
        <v>21</v>
      </c>
      <c r="E19" s="19" t="s">
        <v>201</v>
      </c>
      <c r="F19" s="14">
        <v>22</v>
      </c>
      <c r="G19" s="19" t="s">
        <v>202</v>
      </c>
    </row>
    <row r="20" spans="1:7" x14ac:dyDescent="0.2">
      <c r="A20" s="37">
        <v>18</v>
      </c>
      <c r="B20" s="38">
        <v>0.4375</v>
      </c>
      <c r="C20" s="95" t="s">
        <v>21</v>
      </c>
      <c r="D20" s="39">
        <v>23</v>
      </c>
      <c r="E20" s="40" t="s">
        <v>203</v>
      </c>
      <c r="F20" s="39">
        <v>24</v>
      </c>
      <c r="G20" s="40" t="s">
        <v>204</v>
      </c>
    </row>
    <row r="21" spans="1:7" x14ac:dyDescent="0.2">
      <c r="A21" s="6">
        <v>19</v>
      </c>
      <c r="B21" s="22">
        <v>0.44444444444444442</v>
      </c>
      <c r="C21" s="94" t="s">
        <v>20</v>
      </c>
      <c r="D21" s="14">
        <v>13</v>
      </c>
      <c r="E21" s="19" t="s">
        <v>193</v>
      </c>
      <c r="F21" s="14">
        <v>15</v>
      </c>
      <c r="G21" s="19" t="s">
        <v>195</v>
      </c>
    </row>
    <row r="22" spans="1:7" x14ac:dyDescent="0.2">
      <c r="A22" s="37">
        <v>20</v>
      </c>
      <c r="B22" s="38">
        <v>0.44444444444444442</v>
      </c>
      <c r="C22" s="95" t="s">
        <v>21</v>
      </c>
      <c r="D22" s="39">
        <v>14</v>
      </c>
      <c r="E22" s="40" t="s">
        <v>194</v>
      </c>
      <c r="F22" s="39">
        <v>16</v>
      </c>
      <c r="G22" s="40" t="s">
        <v>196</v>
      </c>
    </row>
    <row r="23" spans="1:7" x14ac:dyDescent="0.2">
      <c r="A23" s="6">
        <v>21</v>
      </c>
      <c r="B23" s="22">
        <v>0.4513888888888889</v>
      </c>
      <c r="C23" s="93" t="s">
        <v>19</v>
      </c>
      <c r="D23" s="14">
        <v>17</v>
      </c>
      <c r="E23" s="19" t="s">
        <v>197</v>
      </c>
      <c r="F23" s="14">
        <v>19</v>
      </c>
      <c r="G23" s="19" t="s">
        <v>199</v>
      </c>
    </row>
    <row r="24" spans="1:7" x14ac:dyDescent="0.2">
      <c r="A24" s="37">
        <v>22</v>
      </c>
      <c r="B24" s="38">
        <v>0.4513888888888889</v>
      </c>
      <c r="C24" s="94" t="s">
        <v>20</v>
      </c>
      <c r="D24" s="39">
        <v>18</v>
      </c>
      <c r="E24" s="40" t="s">
        <v>198</v>
      </c>
      <c r="F24" s="39">
        <v>20</v>
      </c>
      <c r="G24" s="40" t="s">
        <v>200</v>
      </c>
    </row>
    <row r="25" spans="1:7" x14ac:dyDescent="0.2">
      <c r="A25" s="6">
        <v>23</v>
      </c>
      <c r="B25" s="22">
        <v>0.45833333333333331</v>
      </c>
      <c r="C25" s="93" t="s">
        <v>19</v>
      </c>
      <c r="D25" s="14">
        <v>21</v>
      </c>
      <c r="E25" s="19" t="s">
        <v>201</v>
      </c>
      <c r="F25" s="14">
        <v>23</v>
      </c>
      <c r="G25" s="19" t="s">
        <v>203</v>
      </c>
    </row>
    <row r="26" spans="1:7" x14ac:dyDescent="0.2">
      <c r="A26" s="37">
        <v>24</v>
      </c>
      <c r="B26" s="38">
        <v>0.45833333333333331</v>
      </c>
      <c r="C26" s="95" t="s">
        <v>21</v>
      </c>
      <c r="D26" s="39">
        <v>22</v>
      </c>
      <c r="E26" s="40" t="s">
        <v>202</v>
      </c>
      <c r="F26" s="39">
        <v>24</v>
      </c>
      <c r="G26" s="40" t="s">
        <v>204</v>
      </c>
    </row>
    <row r="27" spans="1:7" x14ac:dyDescent="0.2">
      <c r="A27" s="6">
        <v>25</v>
      </c>
      <c r="B27" s="22">
        <v>0.47222222222222227</v>
      </c>
      <c r="C27" s="93" t="s">
        <v>19</v>
      </c>
      <c r="D27" s="14">
        <v>25</v>
      </c>
      <c r="E27" s="19" t="s">
        <v>205</v>
      </c>
      <c r="F27" s="14">
        <v>26</v>
      </c>
      <c r="G27" s="19" t="s">
        <v>206</v>
      </c>
    </row>
    <row r="28" spans="1:7" x14ac:dyDescent="0.2">
      <c r="A28" s="37">
        <v>26</v>
      </c>
      <c r="B28" s="38">
        <v>0.47222222222222227</v>
      </c>
      <c r="C28" s="94" t="s">
        <v>20</v>
      </c>
      <c r="D28" s="39">
        <v>27</v>
      </c>
      <c r="E28" s="40" t="s">
        <v>207</v>
      </c>
      <c r="F28" s="39">
        <v>28</v>
      </c>
      <c r="G28" s="40" t="s">
        <v>208</v>
      </c>
    </row>
    <row r="29" spans="1:7" x14ac:dyDescent="0.2">
      <c r="A29" s="6">
        <v>27</v>
      </c>
      <c r="B29" s="22">
        <v>0.47916666666666669</v>
      </c>
      <c r="C29" s="95" t="s">
        <v>21</v>
      </c>
      <c r="D29" s="14">
        <v>29</v>
      </c>
      <c r="E29" s="19" t="s">
        <v>209</v>
      </c>
      <c r="F29" s="14">
        <v>30</v>
      </c>
      <c r="G29" s="19" t="s">
        <v>210</v>
      </c>
    </row>
    <row r="30" spans="1:7" x14ac:dyDescent="0.2">
      <c r="A30" s="37">
        <v>28</v>
      </c>
      <c r="B30" s="38">
        <v>0.47916666666666669</v>
      </c>
      <c r="C30" s="93" t="s">
        <v>19</v>
      </c>
      <c r="D30" s="39">
        <v>31</v>
      </c>
      <c r="E30" s="40" t="s">
        <v>211</v>
      </c>
      <c r="F30" s="39">
        <v>32</v>
      </c>
      <c r="G30" s="40" t="s">
        <v>212</v>
      </c>
    </row>
    <row r="31" spans="1:7" x14ac:dyDescent="0.2">
      <c r="A31" s="6">
        <v>29</v>
      </c>
      <c r="B31" s="22">
        <v>0.4861111111111111</v>
      </c>
      <c r="C31" s="94" t="s">
        <v>20</v>
      </c>
      <c r="D31" s="14">
        <v>33</v>
      </c>
      <c r="E31" s="19" t="s">
        <v>213</v>
      </c>
      <c r="F31" s="14">
        <v>34</v>
      </c>
      <c r="G31" s="19" t="s">
        <v>214</v>
      </c>
    </row>
    <row r="32" spans="1:7" x14ac:dyDescent="0.2">
      <c r="A32" s="37">
        <v>30</v>
      </c>
      <c r="B32" s="38">
        <v>0.4861111111111111</v>
      </c>
      <c r="C32" s="95" t="s">
        <v>21</v>
      </c>
      <c r="D32" s="39">
        <v>35</v>
      </c>
      <c r="E32" s="40" t="s">
        <v>215</v>
      </c>
      <c r="F32" s="39">
        <v>36</v>
      </c>
      <c r="G32" s="40" t="s">
        <v>216</v>
      </c>
    </row>
    <row r="33" spans="1:7" x14ac:dyDescent="0.2">
      <c r="A33" s="6">
        <v>31</v>
      </c>
      <c r="B33" s="22">
        <v>0.49305555555555558</v>
      </c>
      <c r="C33" s="94" t="s">
        <v>20</v>
      </c>
      <c r="D33" s="14">
        <v>25</v>
      </c>
      <c r="E33" s="19" t="s">
        <v>205</v>
      </c>
      <c r="F33" s="14">
        <v>27</v>
      </c>
      <c r="G33" s="19" t="s">
        <v>207</v>
      </c>
    </row>
    <row r="34" spans="1:7" x14ac:dyDescent="0.2">
      <c r="A34" s="37">
        <v>32</v>
      </c>
      <c r="B34" s="38">
        <v>0.49305555555555558</v>
      </c>
      <c r="C34" s="95" t="s">
        <v>21</v>
      </c>
      <c r="D34" s="39">
        <v>26</v>
      </c>
      <c r="E34" s="40" t="s">
        <v>206</v>
      </c>
      <c r="F34" s="39">
        <v>28</v>
      </c>
      <c r="G34" s="40" t="s">
        <v>208</v>
      </c>
    </row>
    <row r="35" spans="1:7" x14ac:dyDescent="0.2">
      <c r="A35" s="6">
        <v>33</v>
      </c>
      <c r="B35" s="22">
        <v>0.5</v>
      </c>
      <c r="C35" s="93" t="s">
        <v>19</v>
      </c>
      <c r="D35" s="14">
        <v>29</v>
      </c>
      <c r="E35" s="19" t="s">
        <v>209</v>
      </c>
      <c r="F35" s="14">
        <v>31</v>
      </c>
      <c r="G35" s="19" t="s">
        <v>211</v>
      </c>
    </row>
    <row r="36" spans="1:7" x14ac:dyDescent="0.2">
      <c r="A36" s="37">
        <v>34</v>
      </c>
      <c r="B36" s="38">
        <v>0.5</v>
      </c>
      <c r="C36" s="94" t="s">
        <v>20</v>
      </c>
      <c r="D36" s="39">
        <v>30</v>
      </c>
      <c r="E36" s="40" t="s">
        <v>210</v>
      </c>
      <c r="F36" s="39">
        <v>32</v>
      </c>
      <c r="G36" s="40" t="s">
        <v>212</v>
      </c>
    </row>
    <row r="37" spans="1:7" x14ac:dyDescent="0.2">
      <c r="A37" s="6">
        <v>35</v>
      </c>
      <c r="B37" s="22">
        <v>0.50694444444444442</v>
      </c>
      <c r="C37" s="93" t="s">
        <v>19</v>
      </c>
      <c r="D37" s="14">
        <v>33</v>
      </c>
      <c r="E37" s="19" t="s">
        <v>213</v>
      </c>
      <c r="F37" s="14">
        <v>35</v>
      </c>
      <c r="G37" s="59" t="s">
        <v>215</v>
      </c>
    </row>
    <row r="38" spans="1:7" x14ac:dyDescent="0.2">
      <c r="A38" s="37">
        <v>36</v>
      </c>
      <c r="B38" s="38">
        <v>0.50694444444444442</v>
      </c>
      <c r="C38" s="95" t="s">
        <v>21</v>
      </c>
      <c r="D38" s="39">
        <v>34</v>
      </c>
      <c r="E38" s="40" t="s">
        <v>214</v>
      </c>
      <c r="F38" s="39">
        <v>36</v>
      </c>
      <c r="G38" s="40" t="s">
        <v>216</v>
      </c>
    </row>
    <row r="39" spans="1:7" x14ac:dyDescent="0.2">
      <c r="A39" s="6">
        <v>37</v>
      </c>
      <c r="B39" s="22">
        <v>0.54166666666666663</v>
      </c>
      <c r="C39" s="95" t="s">
        <v>21</v>
      </c>
      <c r="D39" s="14">
        <v>1</v>
      </c>
      <c r="E39" s="19" t="s">
        <v>181</v>
      </c>
      <c r="F39" s="14">
        <v>4</v>
      </c>
      <c r="G39" s="19" t="s">
        <v>184</v>
      </c>
    </row>
    <row r="40" spans="1:7" x14ac:dyDescent="0.2">
      <c r="A40" s="37">
        <v>38</v>
      </c>
      <c r="B40" s="38">
        <v>0.54166666666666663</v>
      </c>
      <c r="C40" s="94" t="s">
        <v>20</v>
      </c>
      <c r="D40" s="39">
        <v>2</v>
      </c>
      <c r="E40" s="40" t="s">
        <v>182</v>
      </c>
      <c r="F40" s="39">
        <v>5</v>
      </c>
      <c r="G40" s="40" t="s">
        <v>185</v>
      </c>
    </row>
    <row r="41" spans="1:7" x14ac:dyDescent="0.2">
      <c r="A41" s="6">
        <v>39</v>
      </c>
      <c r="B41" s="22">
        <v>0.54166666666666663</v>
      </c>
      <c r="C41" s="93" t="s">
        <v>19</v>
      </c>
      <c r="D41" s="14">
        <v>3</v>
      </c>
      <c r="E41" s="19" t="s">
        <v>183</v>
      </c>
      <c r="F41" s="14">
        <v>6</v>
      </c>
      <c r="G41" s="19" t="s">
        <v>186</v>
      </c>
    </row>
    <row r="42" spans="1:7" x14ac:dyDescent="0.2">
      <c r="A42" s="37">
        <v>40</v>
      </c>
      <c r="B42" s="38">
        <v>0.54861111111111105</v>
      </c>
      <c r="C42" s="95" t="s">
        <v>21</v>
      </c>
      <c r="D42" s="39">
        <v>7</v>
      </c>
      <c r="E42" s="40" t="s">
        <v>187</v>
      </c>
      <c r="F42" s="39">
        <v>10</v>
      </c>
      <c r="G42" s="40" t="s">
        <v>190</v>
      </c>
    </row>
    <row r="43" spans="1:7" x14ac:dyDescent="0.2">
      <c r="A43" s="6">
        <v>41</v>
      </c>
      <c r="B43" s="22">
        <v>0.54861111111111105</v>
      </c>
      <c r="C43" s="94" t="s">
        <v>20</v>
      </c>
      <c r="D43" s="14">
        <v>8</v>
      </c>
      <c r="E43" s="19" t="s">
        <v>188</v>
      </c>
      <c r="F43" s="14">
        <v>11</v>
      </c>
      <c r="G43" s="19" t="s">
        <v>191</v>
      </c>
    </row>
    <row r="44" spans="1:7" x14ac:dyDescent="0.2">
      <c r="A44" s="37">
        <v>42</v>
      </c>
      <c r="B44" s="38">
        <v>0.54861111111111105</v>
      </c>
      <c r="C44" s="93" t="s">
        <v>19</v>
      </c>
      <c r="D44" s="39">
        <v>9</v>
      </c>
      <c r="E44" s="40" t="s">
        <v>189</v>
      </c>
      <c r="F44" s="39">
        <v>12</v>
      </c>
      <c r="G44" s="40" t="s">
        <v>192</v>
      </c>
    </row>
    <row r="45" spans="1:7" x14ac:dyDescent="0.2">
      <c r="A45" s="6">
        <v>43</v>
      </c>
      <c r="B45" s="22">
        <v>0.55555555555555558</v>
      </c>
      <c r="C45" s="95" t="s">
        <v>21</v>
      </c>
      <c r="D45" s="14">
        <v>13</v>
      </c>
      <c r="E45" s="19" t="s">
        <v>193</v>
      </c>
      <c r="F45" s="14">
        <v>16</v>
      </c>
      <c r="G45" s="19" t="s">
        <v>196</v>
      </c>
    </row>
    <row r="46" spans="1:7" x14ac:dyDescent="0.2">
      <c r="A46" s="37">
        <v>44</v>
      </c>
      <c r="B46" s="38">
        <v>0.55555555555555558</v>
      </c>
      <c r="C46" s="94" t="s">
        <v>20</v>
      </c>
      <c r="D46" s="39">
        <v>14</v>
      </c>
      <c r="E46" s="40" t="s">
        <v>194</v>
      </c>
      <c r="F46" s="39">
        <v>17</v>
      </c>
      <c r="G46" s="40" t="s">
        <v>197</v>
      </c>
    </row>
    <row r="47" spans="1:7" x14ac:dyDescent="0.2">
      <c r="A47" s="6">
        <v>45</v>
      </c>
      <c r="B47" s="22">
        <v>0.55555555555555558</v>
      </c>
      <c r="C47" s="93" t="s">
        <v>19</v>
      </c>
      <c r="D47" s="14">
        <v>15</v>
      </c>
      <c r="E47" s="19" t="s">
        <v>195</v>
      </c>
      <c r="F47" s="14">
        <v>18</v>
      </c>
      <c r="G47" s="19" t="s">
        <v>198</v>
      </c>
    </row>
    <row r="48" spans="1:7" x14ac:dyDescent="0.2">
      <c r="A48" s="37">
        <v>46</v>
      </c>
      <c r="B48" s="38">
        <v>0.5625</v>
      </c>
      <c r="C48" s="95" t="s">
        <v>21</v>
      </c>
      <c r="D48" s="39">
        <v>19</v>
      </c>
      <c r="E48" s="40" t="s">
        <v>199</v>
      </c>
      <c r="F48" s="39">
        <v>22</v>
      </c>
      <c r="G48" s="40" t="s">
        <v>202</v>
      </c>
    </row>
    <row r="49" spans="1:7" x14ac:dyDescent="0.2">
      <c r="A49" s="6">
        <v>47</v>
      </c>
      <c r="B49" s="22">
        <v>0.5625</v>
      </c>
      <c r="C49" s="94" t="s">
        <v>20</v>
      </c>
      <c r="D49" s="14">
        <v>20</v>
      </c>
      <c r="E49" s="19" t="s">
        <v>200</v>
      </c>
      <c r="F49" s="14">
        <v>23</v>
      </c>
      <c r="G49" s="19" t="s">
        <v>203</v>
      </c>
    </row>
    <row r="50" spans="1:7" x14ac:dyDescent="0.2">
      <c r="A50" s="37">
        <v>48</v>
      </c>
      <c r="B50" s="38">
        <v>0.5625</v>
      </c>
      <c r="C50" s="93" t="s">
        <v>19</v>
      </c>
      <c r="D50" s="39">
        <v>21</v>
      </c>
      <c r="E50" s="40" t="s">
        <v>201</v>
      </c>
      <c r="F50" s="39">
        <v>24</v>
      </c>
      <c r="G50" s="40" t="s">
        <v>204</v>
      </c>
    </row>
    <row r="51" spans="1:7" x14ac:dyDescent="0.2">
      <c r="A51" s="6">
        <v>49</v>
      </c>
      <c r="B51" s="22">
        <v>0.56944444444444442</v>
      </c>
      <c r="C51" s="95" t="s">
        <v>21</v>
      </c>
      <c r="D51" s="14">
        <v>25</v>
      </c>
      <c r="E51" s="19" t="s">
        <v>205</v>
      </c>
      <c r="F51" s="14">
        <v>28</v>
      </c>
      <c r="G51" s="19" t="s">
        <v>208</v>
      </c>
    </row>
    <row r="52" spans="1:7" x14ac:dyDescent="0.2">
      <c r="A52" s="37">
        <v>50</v>
      </c>
      <c r="B52" s="38">
        <v>0.56944444444444442</v>
      </c>
      <c r="C52" s="94" t="s">
        <v>20</v>
      </c>
      <c r="D52" s="39">
        <v>26</v>
      </c>
      <c r="E52" s="40" t="s">
        <v>206</v>
      </c>
      <c r="F52" s="39">
        <v>29</v>
      </c>
      <c r="G52" s="40" t="s">
        <v>209</v>
      </c>
    </row>
    <row r="53" spans="1:7" x14ac:dyDescent="0.2">
      <c r="A53" s="6">
        <v>51</v>
      </c>
      <c r="B53" s="22">
        <v>0.56944444444444442</v>
      </c>
      <c r="C53" s="93" t="s">
        <v>19</v>
      </c>
      <c r="D53" s="14">
        <v>27</v>
      </c>
      <c r="E53" s="19" t="s">
        <v>207</v>
      </c>
      <c r="F53" s="14">
        <v>30</v>
      </c>
      <c r="G53" s="19" t="s">
        <v>210</v>
      </c>
    </row>
    <row r="54" spans="1:7" x14ac:dyDescent="0.2">
      <c r="A54" s="37">
        <v>52</v>
      </c>
      <c r="B54" s="38">
        <v>0.57638888888888895</v>
      </c>
      <c r="C54" s="95" t="s">
        <v>21</v>
      </c>
      <c r="D54" s="39">
        <v>31</v>
      </c>
      <c r="E54" s="40" t="s">
        <v>211</v>
      </c>
      <c r="F54" s="39">
        <v>34</v>
      </c>
      <c r="G54" s="40" t="s">
        <v>214</v>
      </c>
    </row>
    <row r="55" spans="1:7" x14ac:dyDescent="0.2">
      <c r="A55" s="6">
        <v>53</v>
      </c>
      <c r="B55" s="22">
        <v>0.57638888888888895</v>
      </c>
      <c r="C55" s="94" t="s">
        <v>20</v>
      </c>
      <c r="D55" s="14">
        <v>32</v>
      </c>
      <c r="E55" s="19" t="s">
        <v>212</v>
      </c>
      <c r="F55" s="14">
        <v>35</v>
      </c>
      <c r="G55" s="19" t="s">
        <v>215</v>
      </c>
    </row>
    <row r="56" spans="1:7" x14ac:dyDescent="0.2">
      <c r="A56" s="37">
        <v>54</v>
      </c>
      <c r="B56" s="38">
        <v>0.57638888888888895</v>
      </c>
      <c r="C56" s="93" t="s">
        <v>19</v>
      </c>
      <c r="D56" s="39">
        <v>33</v>
      </c>
      <c r="E56" s="40" t="s">
        <v>213</v>
      </c>
      <c r="F56" s="39">
        <v>36</v>
      </c>
      <c r="G56" s="40" t="s">
        <v>216</v>
      </c>
    </row>
    <row r="57" spans="1:7" x14ac:dyDescent="0.2">
      <c r="A57" s="6">
        <v>55</v>
      </c>
      <c r="B57" s="22">
        <v>0.59027777777777779</v>
      </c>
      <c r="C57" s="94" t="s">
        <v>20</v>
      </c>
      <c r="D57" s="14">
        <v>1</v>
      </c>
      <c r="E57" s="19" t="s">
        <v>181</v>
      </c>
      <c r="F57" s="14">
        <v>7</v>
      </c>
      <c r="G57" s="19" t="s">
        <v>187</v>
      </c>
    </row>
    <row r="58" spans="1:7" x14ac:dyDescent="0.2">
      <c r="A58" s="37">
        <v>56</v>
      </c>
      <c r="B58" s="38">
        <v>0.59027777777777779</v>
      </c>
      <c r="C58" s="95" t="s">
        <v>21</v>
      </c>
      <c r="D58" s="39">
        <v>3</v>
      </c>
      <c r="E58" s="40" t="s">
        <v>183</v>
      </c>
      <c r="F58" s="39">
        <v>9</v>
      </c>
      <c r="G58" s="40" t="s">
        <v>189</v>
      </c>
    </row>
    <row r="59" spans="1:7" x14ac:dyDescent="0.2">
      <c r="A59" s="6">
        <v>57</v>
      </c>
      <c r="B59" s="22">
        <v>0.59027777777777779</v>
      </c>
      <c r="C59" s="93" t="s">
        <v>19</v>
      </c>
      <c r="D59" s="14">
        <v>5</v>
      </c>
      <c r="E59" s="19" t="s">
        <v>185</v>
      </c>
      <c r="F59" s="14">
        <v>11</v>
      </c>
      <c r="G59" s="19" t="s">
        <v>191</v>
      </c>
    </row>
    <row r="60" spans="1:7" x14ac:dyDescent="0.2">
      <c r="A60" s="37">
        <v>58</v>
      </c>
      <c r="B60" s="38">
        <v>0.59722222222222221</v>
      </c>
      <c r="C60" s="95" t="s">
        <v>21</v>
      </c>
      <c r="D60" s="39">
        <v>2</v>
      </c>
      <c r="E60" s="40" t="s">
        <v>182</v>
      </c>
      <c r="F60" s="39">
        <v>8</v>
      </c>
      <c r="G60" s="40" t="s">
        <v>188</v>
      </c>
    </row>
    <row r="61" spans="1:7" x14ac:dyDescent="0.2">
      <c r="A61" s="6">
        <v>59</v>
      </c>
      <c r="B61" s="22">
        <v>0.59722222222222221</v>
      </c>
      <c r="C61" s="93" t="s">
        <v>19</v>
      </c>
      <c r="D61" s="14">
        <v>4</v>
      </c>
      <c r="E61" s="19" t="s">
        <v>184</v>
      </c>
      <c r="F61" s="14">
        <v>10</v>
      </c>
      <c r="G61" s="19" t="s">
        <v>190</v>
      </c>
    </row>
    <row r="62" spans="1:7" x14ac:dyDescent="0.2">
      <c r="A62" s="37">
        <v>60</v>
      </c>
      <c r="B62" s="38">
        <v>0.59722222222222221</v>
      </c>
      <c r="C62" s="94" t="s">
        <v>20</v>
      </c>
      <c r="D62" s="39">
        <v>6</v>
      </c>
      <c r="E62" s="40" t="s">
        <v>186</v>
      </c>
      <c r="F62" s="39">
        <v>12</v>
      </c>
      <c r="G62" s="40" t="s">
        <v>192</v>
      </c>
    </row>
    <row r="63" spans="1:7" x14ac:dyDescent="0.2">
      <c r="A63" s="6">
        <v>61</v>
      </c>
      <c r="B63" s="22">
        <v>0.60416666666666663</v>
      </c>
      <c r="C63" s="94" t="s">
        <v>20</v>
      </c>
      <c r="D63" s="14">
        <v>13</v>
      </c>
      <c r="E63" s="19" t="s">
        <v>193</v>
      </c>
      <c r="F63" s="14">
        <v>19</v>
      </c>
      <c r="G63" s="19" t="s">
        <v>199</v>
      </c>
    </row>
    <row r="64" spans="1:7" x14ac:dyDescent="0.2">
      <c r="A64" s="37">
        <v>62</v>
      </c>
      <c r="B64" s="38">
        <v>0.60416666666666663</v>
      </c>
      <c r="C64" s="95" t="s">
        <v>21</v>
      </c>
      <c r="D64" s="39">
        <v>15</v>
      </c>
      <c r="E64" s="40" t="s">
        <v>195</v>
      </c>
      <c r="F64" s="39">
        <v>21</v>
      </c>
      <c r="G64" s="40" t="s">
        <v>201</v>
      </c>
    </row>
    <row r="65" spans="1:7" x14ac:dyDescent="0.2">
      <c r="A65" s="6">
        <v>63</v>
      </c>
      <c r="B65" s="22">
        <v>0.60416666666666663</v>
      </c>
      <c r="C65" s="93" t="s">
        <v>19</v>
      </c>
      <c r="D65" s="14">
        <v>17</v>
      </c>
      <c r="E65" s="19" t="s">
        <v>197</v>
      </c>
      <c r="F65" s="14">
        <v>23</v>
      </c>
      <c r="G65" s="19" t="s">
        <v>203</v>
      </c>
    </row>
    <row r="66" spans="1:7" x14ac:dyDescent="0.2">
      <c r="A66" s="37">
        <v>64</v>
      </c>
      <c r="B66" s="38">
        <v>0.61111111111111105</v>
      </c>
      <c r="C66" s="95" t="s">
        <v>21</v>
      </c>
      <c r="D66" s="39">
        <v>14</v>
      </c>
      <c r="E66" s="40" t="s">
        <v>194</v>
      </c>
      <c r="F66" s="39">
        <v>20</v>
      </c>
      <c r="G66" s="40" t="s">
        <v>200</v>
      </c>
    </row>
    <row r="67" spans="1:7" x14ac:dyDescent="0.2">
      <c r="A67" s="6">
        <v>65</v>
      </c>
      <c r="B67" s="22">
        <v>0.61111111111111105</v>
      </c>
      <c r="C67" s="93" t="s">
        <v>19</v>
      </c>
      <c r="D67" s="14">
        <v>16</v>
      </c>
      <c r="E67" s="19" t="s">
        <v>196</v>
      </c>
      <c r="F67" s="14">
        <v>22</v>
      </c>
      <c r="G67" s="19" t="s">
        <v>202</v>
      </c>
    </row>
    <row r="68" spans="1:7" x14ac:dyDescent="0.2">
      <c r="A68" s="37">
        <v>66</v>
      </c>
      <c r="B68" s="38">
        <v>0.61111111111111105</v>
      </c>
      <c r="C68" s="94" t="s">
        <v>20</v>
      </c>
      <c r="D68" s="39">
        <v>18</v>
      </c>
      <c r="E68" s="40" t="s">
        <v>198</v>
      </c>
      <c r="F68" s="39">
        <v>24</v>
      </c>
      <c r="G68" s="40" t="s">
        <v>204</v>
      </c>
    </row>
    <row r="69" spans="1:7" x14ac:dyDescent="0.2">
      <c r="A69" s="6">
        <v>67</v>
      </c>
      <c r="B69" s="22">
        <v>0.61805555555555558</v>
      </c>
      <c r="C69" s="94" t="s">
        <v>20</v>
      </c>
      <c r="D69" s="14">
        <v>25</v>
      </c>
      <c r="E69" s="19" t="s">
        <v>205</v>
      </c>
      <c r="F69" s="14">
        <v>31</v>
      </c>
      <c r="G69" s="19" t="s">
        <v>211</v>
      </c>
    </row>
    <row r="70" spans="1:7" x14ac:dyDescent="0.2">
      <c r="A70" s="37">
        <v>68</v>
      </c>
      <c r="B70" s="38">
        <v>0.61805555555555558</v>
      </c>
      <c r="C70" s="95" t="s">
        <v>21</v>
      </c>
      <c r="D70" s="39">
        <v>27</v>
      </c>
      <c r="E70" s="40" t="s">
        <v>207</v>
      </c>
      <c r="F70" s="39">
        <v>33</v>
      </c>
      <c r="G70" s="40" t="s">
        <v>213</v>
      </c>
    </row>
    <row r="71" spans="1:7" x14ac:dyDescent="0.2">
      <c r="A71" s="6">
        <v>69</v>
      </c>
      <c r="B71" s="22">
        <v>0.61805555555555558</v>
      </c>
      <c r="C71" s="93" t="s">
        <v>19</v>
      </c>
      <c r="D71" s="14">
        <v>29</v>
      </c>
      <c r="E71" s="19" t="s">
        <v>209</v>
      </c>
      <c r="F71" s="14">
        <v>36</v>
      </c>
      <c r="G71" s="19" t="s">
        <v>216</v>
      </c>
    </row>
    <row r="72" spans="1:7" x14ac:dyDescent="0.2">
      <c r="A72" s="37">
        <v>70</v>
      </c>
      <c r="B72" s="38">
        <v>0.625</v>
      </c>
      <c r="C72" s="95" t="s">
        <v>21</v>
      </c>
      <c r="D72" s="39">
        <v>26</v>
      </c>
      <c r="E72" s="40" t="s">
        <v>206</v>
      </c>
      <c r="F72" s="39">
        <v>32</v>
      </c>
      <c r="G72" s="40" t="s">
        <v>212</v>
      </c>
    </row>
    <row r="73" spans="1:7" x14ac:dyDescent="0.2">
      <c r="A73" s="6">
        <v>71</v>
      </c>
      <c r="B73" s="22">
        <v>0.625</v>
      </c>
      <c r="C73" s="93" t="s">
        <v>19</v>
      </c>
      <c r="D73" s="14">
        <v>28</v>
      </c>
      <c r="E73" s="19" t="s">
        <v>208</v>
      </c>
      <c r="F73" s="14">
        <v>34</v>
      </c>
      <c r="G73" s="19" t="s">
        <v>214</v>
      </c>
    </row>
    <row r="74" spans="1:7" x14ac:dyDescent="0.2">
      <c r="A74" s="37">
        <v>72</v>
      </c>
      <c r="B74" s="38">
        <v>0.625</v>
      </c>
      <c r="C74" s="94" t="s">
        <v>20</v>
      </c>
      <c r="D74" s="39">
        <v>30</v>
      </c>
      <c r="E74" s="40" t="s">
        <v>210</v>
      </c>
      <c r="F74" s="39">
        <v>35</v>
      </c>
      <c r="G74" s="40" t="s">
        <v>215</v>
      </c>
    </row>
  </sheetData>
  <printOptions gridLines="1"/>
  <pageMargins left="0.25" right="0.25" top="0.75" bottom="0.75" header="0.3" footer="0.3"/>
  <pageSetup paperSize="123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G26"/>
  <sheetViews>
    <sheetView workbookViewId="0">
      <selection activeCell="A26" sqref="A26:XFD26"/>
    </sheetView>
  </sheetViews>
  <sheetFormatPr defaultRowHeight="12.75" x14ac:dyDescent="0.2"/>
  <cols>
    <col min="1" max="1" width="9.140625" customWidth="1"/>
    <col min="4" max="4" width="9.140625" style="15"/>
    <col min="5" max="5" width="37.7109375" customWidth="1"/>
    <col min="6" max="6" width="9.140625" style="15"/>
    <col min="7" max="7" width="37.7109375" customWidth="1"/>
  </cols>
  <sheetData>
    <row r="1" spans="1:7" x14ac:dyDescent="0.2">
      <c r="A1" s="10"/>
      <c r="B1" s="11"/>
      <c r="C1" s="11" t="s">
        <v>9</v>
      </c>
      <c r="D1" s="12" t="s">
        <v>15</v>
      </c>
      <c r="E1" s="11" t="s">
        <v>15</v>
      </c>
      <c r="F1" s="12" t="s">
        <v>17</v>
      </c>
      <c r="G1" s="11" t="s">
        <v>17</v>
      </c>
    </row>
    <row r="2" spans="1:7" x14ac:dyDescent="0.2">
      <c r="A2" s="8" t="s">
        <v>10</v>
      </c>
      <c r="B2" s="9" t="s">
        <v>18</v>
      </c>
      <c r="C2" s="9" t="s">
        <v>16</v>
      </c>
      <c r="D2" s="13" t="s">
        <v>12</v>
      </c>
      <c r="E2" s="9" t="s">
        <v>1</v>
      </c>
      <c r="F2" s="13" t="s">
        <v>12</v>
      </c>
      <c r="G2" s="9" t="s">
        <v>1</v>
      </c>
    </row>
    <row r="3" spans="1:7" x14ac:dyDescent="0.2">
      <c r="A3" s="6">
        <v>1</v>
      </c>
      <c r="B3" s="22">
        <v>0.375</v>
      </c>
      <c r="C3" s="93" t="s">
        <v>19</v>
      </c>
      <c r="D3" s="14">
        <v>1</v>
      </c>
      <c r="E3" s="19" t="s">
        <v>181</v>
      </c>
      <c r="F3" s="14">
        <v>2</v>
      </c>
      <c r="G3" s="19" t="s">
        <v>182</v>
      </c>
    </row>
    <row r="4" spans="1:7" x14ac:dyDescent="0.2">
      <c r="A4" s="60">
        <v>4</v>
      </c>
      <c r="B4" s="61">
        <v>0.38194444444444442</v>
      </c>
      <c r="C4" s="93" t="s">
        <v>19</v>
      </c>
      <c r="D4" s="62">
        <v>7</v>
      </c>
      <c r="E4" s="63" t="s">
        <v>187</v>
      </c>
      <c r="F4" s="62">
        <v>8</v>
      </c>
      <c r="G4" s="63" t="s">
        <v>188</v>
      </c>
    </row>
    <row r="5" spans="1:7" x14ac:dyDescent="0.2">
      <c r="A5" s="6">
        <v>9</v>
      </c>
      <c r="B5" s="22">
        <v>0.40277777777777773</v>
      </c>
      <c r="C5" s="93" t="s">
        <v>19</v>
      </c>
      <c r="D5" s="14">
        <v>5</v>
      </c>
      <c r="E5" s="19" t="s">
        <v>185</v>
      </c>
      <c r="F5" s="14">
        <v>7</v>
      </c>
      <c r="G5" s="19" t="s">
        <v>187</v>
      </c>
    </row>
    <row r="6" spans="1:7" x14ac:dyDescent="0.2">
      <c r="A6" s="60">
        <v>11</v>
      </c>
      <c r="B6" s="61">
        <v>0.40972222222222227</v>
      </c>
      <c r="C6" s="93" t="s">
        <v>19</v>
      </c>
      <c r="D6" s="62">
        <v>9</v>
      </c>
      <c r="E6" s="63" t="s">
        <v>189</v>
      </c>
      <c r="F6" s="62">
        <v>11</v>
      </c>
      <c r="G6" s="63" t="s">
        <v>191</v>
      </c>
    </row>
    <row r="7" spans="1:7" x14ac:dyDescent="0.2">
      <c r="A7" s="6">
        <v>13</v>
      </c>
      <c r="B7" s="22">
        <v>0.4236111111111111</v>
      </c>
      <c r="C7" s="93" t="s">
        <v>19</v>
      </c>
      <c r="D7" s="14">
        <v>13</v>
      </c>
      <c r="E7" s="19" t="s">
        <v>193</v>
      </c>
      <c r="F7" s="14">
        <v>14</v>
      </c>
      <c r="G7" s="19" t="s">
        <v>194</v>
      </c>
    </row>
    <row r="8" spans="1:7" x14ac:dyDescent="0.2">
      <c r="A8" s="60">
        <v>16</v>
      </c>
      <c r="B8" s="61">
        <v>0.43055555555555558</v>
      </c>
      <c r="C8" s="93" t="s">
        <v>19</v>
      </c>
      <c r="D8" s="62">
        <v>19</v>
      </c>
      <c r="E8" s="63" t="s">
        <v>199</v>
      </c>
      <c r="F8" s="62">
        <v>20</v>
      </c>
      <c r="G8" s="63" t="s">
        <v>200</v>
      </c>
    </row>
    <row r="9" spans="1:7" x14ac:dyDescent="0.2">
      <c r="A9" s="6">
        <v>21</v>
      </c>
      <c r="B9" s="22">
        <v>0.4513888888888889</v>
      </c>
      <c r="C9" s="93" t="s">
        <v>19</v>
      </c>
      <c r="D9" s="14">
        <v>17</v>
      </c>
      <c r="E9" s="19" t="s">
        <v>197</v>
      </c>
      <c r="F9" s="14">
        <v>19</v>
      </c>
      <c r="G9" s="19" t="s">
        <v>199</v>
      </c>
    </row>
    <row r="10" spans="1:7" x14ac:dyDescent="0.2">
      <c r="A10" s="60">
        <v>23</v>
      </c>
      <c r="B10" s="61">
        <v>0.45833333333333331</v>
      </c>
      <c r="C10" s="93" t="s">
        <v>19</v>
      </c>
      <c r="D10" s="62">
        <v>21</v>
      </c>
      <c r="E10" s="63" t="s">
        <v>201</v>
      </c>
      <c r="F10" s="62">
        <v>23</v>
      </c>
      <c r="G10" s="63" t="s">
        <v>203</v>
      </c>
    </row>
    <row r="11" spans="1:7" x14ac:dyDescent="0.2">
      <c r="A11" s="6">
        <v>25</v>
      </c>
      <c r="B11" s="22">
        <v>0.47222222222222227</v>
      </c>
      <c r="C11" s="93" t="s">
        <v>19</v>
      </c>
      <c r="D11" s="14">
        <v>25</v>
      </c>
      <c r="E11" s="19" t="s">
        <v>205</v>
      </c>
      <c r="F11" s="14">
        <v>26</v>
      </c>
      <c r="G11" s="19" t="s">
        <v>206</v>
      </c>
    </row>
    <row r="12" spans="1:7" x14ac:dyDescent="0.2">
      <c r="A12" s="60">
        <v>28</v>
      </c>
      <c r="B12" s="61">
        <v>0.47916666666666669</v>
      </c>
      <c r="C12" s="93" t="s">
        <v>19</v>
      </c>
      <c r="D12" s="62">
        <v>31</v>
      </c>
      <c r="E12" s="63" t="s">
        <v>211</v>
      </c>
      <c r="F12" s="62">
        <v>32</v>
      </c>
      <c r="G12" s="63" t="s">
        <v>212</v>
      </c>
    </row>
    <row r="13" spans="1:7" x14ac:dyDescent="0.2">
      <c r="A13" s="6">
        <v>33</v>
      </c>
      <c r="B13" s="22">
        <v>0.5</v>
      </c>
      <c r="C13" s="93" t="s">
        <v>19</v>
      </c>
      <c r="D13" s="14">
        <v>29</v>
      </c>
      <c r="E13" s="19" t="s">
        <v>209</v>
      </c>
      <c r="F13" s="14">
        <v>31</v>
      </c>
      <c r="G13" s="19" t="s">
        <v>211</v>
      </c>
    </row>
    <row r="14" spans="1:7" x14ac:dyDescent="0.2">
      <c r="A14" s="60">
        <v>35</v>
      </c>
      <c r="B14" s="61">
        <v>0.50694444444444442</v>
      </c>
      <c r="C14" s="93" t="s">
        <v>19</v>
      </c>
      <c r="D14" s="62">
        <v>33</v>
      </c>
      <c r="E14" s="63" t="s">
        <v>213</v>
      </c>
      <c r="F14" s="62">
        <v>35</v>
      </c>
      <c r="G14" s="64" t="s">
        <v>215</v>
      </c>
    </row>
    <row r="15" spans="1:7" x14ac:dyDescent="0.2">
      <c r="A15" s="6">
        <v>39</v>
      </c>
      <c r="B15" s="22">
        <v>0.54166666666666663</v>
      </c>
      <c r="C15" s="93" t="s">
        <v>19</v>
      </c>
      <c r="D15" s="14">
        <v>3</v>
      </c>
      <c r="E15" s="19" t="s">
        <v>183</v>
      </c>
      <c r="F15" s="14">
        <v>6</v>
      </c>
      <c r="G15" s="19" t="s">
        <v>186</v>
      </c>
    </row>
    <row r="16" spans="1:7" x14ac:dyDescent="0.2">
      <c r="A16" s="60">
        <v>42</v>
      </c>
      <c r="B16" s="61">
        <v>0.54861111111111105</v>
      </c>
      <c r="C16" s="93" t="s">
        <v>19</v>
      </c>
      <c r="D16" s="62">
        <v>9</v>
      </c>
      <c r="E16" s="63" t="s">
        <v>189</v>
      </c>
      <c r="F16" s="62">
        <v>12</v>
      </c>
      <c r="G16" s="63" t="s">
        <v>192</v>
      </c>
    </row>
    <row r="17" spans="1:7" x14ac:dyDescent="0.2">
      <c r="A17" s="6">
        <v>45</v>
      </c>
      <c r="B17" s="22">
        <v>0.55555555555555558</v>
      </c>
      <c r="C17" s="93" t="s">
        <v>19</v>
      </c>
      <c r="D17" s="14">
        <v>15</v>
      </c>
      <c r="E17" s="19" t="s">
        <v>195</v>
      </c>
      <c r="F17" s="14">
        <v>18</v>
      </c>
      <c r="G17" s="19" t="s">
        <v>198</v>
      </c>
    </row>
    <row r="18" spans="1:7" x14ac:dyDescent="0.2">
      <c r="A18" s="60">
        <v>48</v>
      </c>
      <c r="B18" s="61">
        <v>0.5625</v>
      </c>
      <c r="C18" s="93" t="s">
        <v>19</v>
      </c>
      <c r="D18" s="62">
        <v>21</v>
      </c>
      <c r="E18" s="63" t="s">
        <v>201</v>
      </c>
      <c r="F18" s="62">
        <v>24</v>
      </c>
      <c r="G18" s="63" t="s">
        <v>204</v>
      </c>
    </row>
    <row r="19" spans="1:7" x14ac:dyDescent="0.2">
      <c r="A19" s="6">
        <v>51</v>
      </c>
      <c r="B19" s="22">
        <v>0.56944444444444442</v>
      </c>
      <c r="C19" s="93" t="s">
        <v>19</v>
      </c>
      <c r="D19" s="14">
        <v>27</v>
      </c>
      <c r="E19" s="19" t="s">
        <v>207</v>
      </c>
      <c r="F19" s="14">
        <v>30</v>
      </c>
      <c r="G19" s="19" t="s">
        <v>210</v>
      </c>
    </row>
    <row r="20" spans="1:7" x14ac:dyDescent="0.2">
      <c r="A20" s="60">
        <v>54</v>
      </c>
      <c r="B20" s="61">
        <v>0.57638888888888895</v>
      </c>
      <c r="C20" s="93" t="s">
        <v>19</v>
      </c>
      <c r="D20" s="62">
        <v>33</v>
      </c>
      <c r="E20" s="63" t="s">
        <v>213</v>
      </c>
      <c r="F20" s="62">
        <v>36</v>
      </c>
      <c r="G20" s="63" t="s">
        <v>216</v>
      </c>
    </row>
    <row r="21" spans="1:7" x14ac:dyDescent="0.2">
      <c r="A21" s="6">
        <v>57</v>
      </c>
      <c r="B21" s="22">
        <v>0.59027777777777779</v>
      </c>
      <c r="C21" s="93" t="s">
        <v>19</v>
      </c>
      <c r="D21" s="14">
        <v>5</v>
      </c>
      <c r="E21" s="19" t="s">
        <v>185</v>
      </c>
      <c r="F21" s="14">
        <v>11</v>
      </c>
      <c r="G21" s="19" t="s">
        <v>191</v>
      </c>
    </row>
    <row r="22" spans="1:7" x14ac:dyDescent="0.2">
      <c r="A22" s="60">
        <v>59</v>
      </c>
      <c r="B22" s="61">
        <v>0.59722222222222221</v>
      </c>
      <c r="C22" s="93" t="s">
        <v>19</v>
      </c>
      <c r="D22" s="62">
        <v>4</v>
      </c>
      <c r="E22" s="63" t="s">
        <v>184</v>
      </c>
      <c r="F22" s="62">
        <v>10</v>
      </c>
      <c r="G22" s="63" t="s">
        <v>190</v>
      </c>
    </row>
    <row r="23" spans="1:7" x14ac:dyDescent="0.2">
      <c r="A23" s="6">
        <v>63</v>
      </c>
      <c r="B23" s="22">
        <v>0.60416666666666663</v>
      </c>
      <c r="C23" s="93" t="s">
        <v>19</v>
      </c>
      <c r="D23" s="14">
        <v>17</v>
      </c>
      <c r="E23" s="19" t="s">
        <v>197</v>
      </c>
      <c r="F23" s="14">
        <v>23</v>
      </c>
      <c r="G23" s="19" t="s">
        <v>203</v>
      </c>
    </row>
    <row r="24" spans="1:7" x14ac:dyDescent="0.2">
      <c r="A24" s="60">
        <v>65</v>
      </c>
      <c r="B24" s="61">
        <v>0.61111111111111105</v>
      </c>
      <c r="C24" s="93" t="s">
        <v>19</v>
      </c>
      <c r="D24" s="62">
        <v>16</v>
      </c>
      <c r="E24" s="63" t="s">
        <v>196</v>
      </c>
      <c r="F24" s="62">
        <v>22</v>
      </c>
      <c r="G24" s="63" t="s">
        <v>202</v>
      </c>
    </row>
    <row r="25" spans="1:7" x14ac:dyDescent="0.2">
      <c r="A25" s="6">
        <v>69</v>
      </c>
      <c r="B25" s="22">
        <v>0.61805555555555558</v>
      </c>
      <c r="C25" s="93" t="s">
        <v>19</v>
      </c>
      <c r="D25" s="14">
        <v>29</v>
      </c>
      <c r="E25" s="19" t="s">
        <v>209</v>
      </c>
      <c r="F25" s="14">
        <v>36</v>
      </c>
      <c r="G25" s="19" t="s">
        <v>216</v>
      </c>
    </row>
    <row r="26" spans="1:7" x14ac:dyDescent="0.2">
      <c r="A26" s="60">
        <v>71</v>
      </c>
      <c r="B26" s="61">
        <v>0.625</v>
      </c>
      <c r="C26" s="93" t="s">
        <v>19</v>
      </c>
      <c r="D26" s="62">
        <v>28</v>
      </c>
      <c r="E26" s="63" t="s">
        <v>208</v>
      </c>
      <c r="F26" s="62">
        <v>34</v>
      </c>
      <c r="G26" s="63" t="s">
        <v>214</v>
      </c>
    </row>
  </sheetData>
  <printOptions verticalCentered="1"/>
  <pageMargins left="0.25" right="0.25" top="0.75" bottom="0.75" header="0.3" footer="0.3"/>
  <pageSetup orientation="landscape" r:id="rId1"/>
  <headerFooter>
    <oddHeader>&amp;C&amp;16RED TABLE SCHEDULE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G26"/>
  <sheetViews>
    <sheetView workbookViewId="0">
      <selection activeCell="A26" sqref="A26:XFD26"/>
    </sheetView>
  </sheetViews>
  <sheetFormatPr defaultRowHeight="12.75" x14ac:dyDescent="0.2"/>
  <cols>
    <col min="1" max="1" width="9.140625" customWidth="1"/>
    <col min="4" max="4" width="9.140625" style="15"/>
    <col min="5" max="5" width="37.7109375" customWidth="1"/>
    <col min="6" max="6" width="9.140625" style="15"/>
    <col min="7" max="7" width="37.7109375" customWidth="1"/>
  </cols>
  <sheetData>
    <row r="1" spans="1:7" x14ac:dyDescent="0.2">
      <c r="A1" s="10"/>
      <c r="B1" s="11"/>
      <c r="C1" s="11" t="s">
        <v>9</v>
      </c>
      <c r="D1" s="12" t="s">
        <v>15</v>
      </c>
      <c r="E1" s="11" t="s">
        <v>15</v>
      </c>
      <c r="F1" s="12" t="s">
        <v>17</v>
      </c>
      <c r="G1" s="11" t="s">
        <v>17</v>
      </c>
    </row>
    <row r="2" spans="1:7" x14ac:dyDescent="0.2">
      <c r="A2" s="8" t="s">
        <v>10</v>
      </c>
      <c r="B2" s="9" t="s">
        <v>18</v>
      </c>
      <c r="C2" s="9" t="s">
        <v>16</v>
      </c>
      <c r="D2" s="13" t="s">
        <v>12</v>
      </c>
      <c r="E2" s="9" t="s">
        <v>1</v>
      </c>
      <c r="F2" s="13" t="s">
        <v>12</v>
      </c>
      <c r="G2" s="9" t="s">
        <v>1</v>
      </c>
    </row>
    <row r="3" spans="1:7" x14ac:dyDescent="0.2">
      <c r="A3" s="6">
        <v>3</v>
      </c>
      <c r="B3" s="22">
        <v>0.38194444444444442</v>
      </c>
      <c r="C3" s="95" t="s">
        <v>21</v>
      </c>
      <c r="D3" s="14">
        <v>5</v>
      </c>
      <c r="E3" s="19" t="s">
        <v>185</v>
      </c>
      <c r="F3" s="14">
        <v>6</v>
      </c>
      <c r="G3" s="19" t="s">
        <v>186</v>
      </c>
    </row>
    <row r="4" spans="1:7" x14ac:dyDescent="0.2">
      <c r="A4" s="60">
        <v>6</v>
      </c>
      <c r="B4" s="61">
        <v>0.3888888888888889</v>
      </c>
      <c r="C4" s="95" t="s">
        <v>21</v>
      </c>
      <c r="D4" s="62">
        <v>11</v>
      </c>
      <c r="E4" s="63" t="s">
        <v>191</v>
      </c>
      <c r="F4" s="62">
        <v>12</v>
      </c>
      <c r="G4" s="63" t="s">
        <v>192</v>
      </c>
    </row>
    <row r="5" spans="1:7" x14ac:dyDescent="0.2">
      <c r="A5" s="6">
        <v>8</v>
      </c>
      <c r="B5" s="22">
        <v>0.39583333333333331</v>
      </c>
      <c r="C5" s="95" t="s">
        <v>21</v>
      </c>
      <c r="D5" s="14">
        <v>2</v>
      </c>
      <c r="E5" s="19" t="s">
        <v>182</v>
      </c>
      <c r="F5" s="14">
        <v>4</v>
      </c>
      <c r="G5" s="19" t="s">
        <v>184</v>
      </c>
    </row>
    <row r="6" spans="1:7" x14ac:dyDescent="0.2">
      <c r="A6" s="60">
        <v>12</v>
      </c>
      <c r="B6" s="61">
        <v>0.40972222222222227</v>
      </c>
      <c r="C6" s="95" t="s">
        <v>21</v>
      </c>
      <c r="D6" s="62">
        <v>10</v>
      </c>
      <c r="E6" s="63" t="s">
        <v>190</v>
      </c>
      <c r="F6" s="62">
        <v>12</v>
      </c>
      <c r="G6" s="63" t="s">
        <v>192</v>
      </c>
    </row>
    <row r="7" spans="1:7" x14ac:dyDescent="0.2">
      <c r="A7" s="6">
        <v>15</v>
      </c>
      <c r="B7" s="22">
        <v>0.43055555555555558</v>
      </c>
      <c r="C7" s="95" t="s">
        <v>21</v>
      </c>
      <c r="D7" s="14">
        <v>17</v>
      </c>
      <c r="E7" s="19" t="s">
        <v>197</v>
      </c>
      <c r="F7" s="14">
        <v>18</v>
      </c>
      <c r="G7" s="19" t="s">
        <v>198</v>
      </c>
    </row>
    <row r="8" spans="1:7" x14ac:dyDescent="0.2">
      <c r="A8" s="60">
        <v>18</v>
      </c>
      <c r="B8" s="61">
        <v>0.4375</v>
      </c>
      <c r="C8" s="95" t="s">
        <v>21</v>
      </c>
      <c r="D8" s="62">
        <v>23</v>
      </c>
      <c r="E8" s="63" t="s">
        <v>203</v>
      </c>
      <c r="F8" s="62">
        <v>24</v>
      </c>
      <c r="G8" s="63" t="s">
        <v>204</v>
      </c>
    </row>
    <row r="9" spans="1:7" x14ac:dyDescent="0.2">
      <c r="A9" s="6">
        <v>20</v>
      </c>
      <c r="B9" s="22">
        <v>0.44444444444444442</v>
      </c>
      <c r="C9" s="95" t="s">
        <v>21</v>
      </c>
      <c r="D9" s="14">
        <v>14</v>
      </c>
      <c r="E9" s="19" t="s">
        <v>194</v>
      </c>
      <c r="F9" s="14">
        <v>16</v>
      </c>
      <c r="G9" s="19" t="s">
        <v>196</v>
      </c>
    </row>
    <row r="10" spans="1:7" x14ac:dyDescent="0.2">
      <c r="A10" s="60">
        <v>24</v>
      </c>
      <c r="B10" s="61">
        <v>0.45833333333333331</v>
      </c>
      <c r="C10" s="95" t="s">
        <v>21</v>
      </c>
      <c r="D10" s="62">
        <v>22</v>
      </c>
      <c r="E10" s="63" t="s">
        <v>202</v>
      </c>
      <c r="F10" s="62">
        <v>24</v>
      </c>
      <c r="G10" s="63" t="s">
        <v>204</v>
      </c>
    </row>
    <row r="11" spans="1:7" x14ac:dyDescent="0.2">
      <c r="A11" s="6">
        <v>27</v>
      </c>
      <c r="B11" s="22">
        <v>0.47916666666666669</v>
      </c>
      <c r="C11" s="95" t="s">
        <v>21</v>
      </c>
      <c r="D11" s="14">
        <v>29</v>
      </c>
      <c r="E11" s="19" t="s">
        <v>209</v>
      </c>
      <c r="F11" s="14">
        <v>30</v>
      </c>
      <c r="G11" s="19" t="s">
        <v>210</v>
      </c>
    </row>
    <row r="12" spans="1:7" x14ac:dyDescent="0.2">
      <c r="A12" s="60">
        <v>30</v>
      </c>
      <c r="B12" s="61">
        <v>0.4861111111111111</v>
      </c>
      <c r="C12" s="95" t="s">
        <v>21</v>
      </c>
      <c r="D12" s="62">
        <v>35</v>
      </c>
      <c r="E12" s="63" t="s">
        <v>215</v>
      </c>
      <c r="F12" s="62">
        <v>36</v>
      </c>
      <c r="G12" s="63" t="s">
        <v>216</v>
      </c>
    </row>
    <row r="13" spans="1:7" x14ac:dyDescent="0.2">
      <c r="A13" s="6">
        <v>32</v>
      </c>
      <c r="B13" s="22">
        <v>0.49305555555555558</v>
      </c>
      <c r="C13" s="95" t="s">
        <v>21</v>
      </c>
      <c r="D13" s="14">
        <v>26</v>
      </c>
      <c r="E13" s="19" t="s">
        <v>206</v>
      </c>
      <c r="F13" s="14">
        <v>28</v>
      </c>
      <c r="G13" s="19" t="s">
        <v>208</v>
      </c>
    </row>
    <row r="14" spans="1:7" x14ac:dyDescent="0.2">
      <c r="A14" s="60">
        <v>36</v>
      </c>
      <c r="B14" s="61">
        <v>0.50694444444444442</v>
      </c>
      <c r="C14" s="95" t="s">
        <v>21</v>
      </c>
      <c r="D14" s="62">
        <v>34</v>
      </c>
      <c r="E14" s="63" t="s">
        <v>214</v>
      </c>
      <c r="F14" s="62">
        <v>36</v>
      </c>
      <c r="G14" s="63" t="s">
        <v>216</v>
      </c>
    </row>
    <row r="15" spans="1:7" x14ac:dyDescent="0.2">
      <c r="A15" s="6">
        <v>37</v>
      </c>
      <c r="B15" s="22">
        <v>0.54166666666666663</v>
      </c>
      <c r="C15" s="95" t="s">
        <v>21</v>
      </c>
      <c r="D15" s="14">
        <v>1</v>
      </c>
      <c r="E15" s="19" t="s">
        <v>181</v>
      </c>
      <c r="F15" s="14">
        <v>4</v>
      </c>
      <c r="G15" s="19" t="s">
        <v>184</v>
      </c>
    </row>
    <row r="16" spans="1:7" x14ac:dyDescent="0.2">
      <c r="A16" s="60">
        <v>40</v>
      </c>
      <c r="B16" s="61">
        <v>0.54861111111111105</v>
      </c>
      <c r="C16" s="95" t="s">
        <v>21</v>
      </c>
      <c r="D16" s="62">
        <v>7</v>
      </c>
      <c r="E16" s="63" t="s">
        <v>187</v>
      </c>
      <c r="F16" s="62">
        <v>10</v>
      </c>
      <c r="G16" s="63" t="s">
        <v>190</v>
      </c>
    </row>
    <row r="17" spans="1:7" x14ac:dyDescent="0.2">
      <c r="A17" s="6">
        <v>43</v>
      </c>
      <c r="B17" s="22">
        <v>0.55555555555555558</v>
      </c>
      <c r="C17" s="95" t="s">
        <v>21</v>
      </c>
      <c r="D17" s="14">
        <v>13</v>
      </c>
      <c r="E17" s="19" t="s">
        <v>193</v>
      </c>
      <c r="F17" s="14">
        <v>16</v>
      </c>
      <c r="G17" s="19" t="s">
        <v>196</v>
      </c>
    </row>
    <row r="18" spans="1:7" x14ac:dyDescent="0.2">
      <c r="A18" s="60">
        <v>46</v>
      </c>
      <c r="B18" s="61">
        <v>0.5625</v>
      </c>
      <c r="C18" s="95" t="s">
        <v>21</v>
      </c>
      <c r="D18" s="62">
        <v>19</v>
      </c>
      <c r="E18" s="63" t="s">
        <v>199</v>
      </c>
      <c r="F18" s="62">
        <v>22</v>
      </c>
      <c r="G18" s="63" t="s">
        <v>202</v>
      </c>
    </row>
    <row r="19" spans="1:7" x14ac:dyDescent="0.2">
      <c r="A19" s="6">
        <v>49</v>
      </c>
      <c r="B19" s="22">
        <v>0.56944444444444442</v>
      </c>
      <c r="C19" s="95" t="s">
        <v>21</v>
      </c>
      <c r="D19" s="14">
        <v>25</v>
      </c>
      <c r="E19" s="19" t="s">
        <v>205</v>
      </c>
      <c r="F19" s="14">
        <v>28</v>
      </c>
      <c r="G19" s="19" t="s">
        <v>208</v>
      </c>
    </row>
    <row r="20" spans="1:7" x14ac:dyDescent="0.2">
      <c r="A20" s="60">
        <v>52</v>
      </c>
      <c r="B20" s="61">
        <v>0.57638888888888895</v>
      </c>
      <c r="C20" s="95" t="s">
        <v>21</v>
      </c>
      <c r="D20" s="62">
        <v>31</v>
      </c>
      <c r="E20" s="63" t="s">
        <v>211</v>
      </c>
      <c r="F20" s="62">
        <v>34</v>
      </c>
      <c r="G20" s="63" t="s">
        <v>214</v>
      </c>
    </row>
    <row r="21" spans="1:7" x14ac:dyDescent="0.2">
      <c r="A21" s="6">
        <v>56</v>
      </c>
      <c r="B21" s="22">
        <v>0.59027777777777779</v>
      </c>
      <c r="C21" s="95" t="s">
        <v>21</v>
      </c>
      <c r="D21" s="14">
        <v>3</v>
      </c>
      <c r="E21" s="19" t="s">
        <v>183</v>
      </c>
      <c r="F21" s="14">
        <v>9</v>
      </c>
      <c r="G21" s="19" t="s">
        <v>189</v>
      </c>
    </row>
    <row r="22" spans="1:7" x14ac:dyDescent="0.2">
      <c r="A22" s="60">
        <v>58</v>
      </c>
      <c r="B22" s="61">
        <v>0.59722222222222221</v>
      </c>
      <c r="C22" s="95" t="s">
        <v>21</v>
      </c>
      <c r="D22" s="62">
        <v>2</v>
      </c>
      <c r="E22" s="63" t="s">
        <v>182</v>
      </c>
      <c r="F22" s="62">
        <v>8</v>
      </c>
      <c r="G22" s="63" t="s">
        <v>188</v>
      </c>
    </row>
    <row r="23" spans="1:7" x14ac:dyDescent="0.2">
      <c r="A23" s="6">
        <v>62</v>
      </c>
      <c r="B23" s="22">
        <v>0.60416666666666663</v>
      </c>
      <c r="C23" s="95" t="s">
        <v>21</v>
      </c>
      <c r="D23" s="14">
        <v>15</v>
      </c>
      <c r="E23" s="19" t="s">
        <v>195</v>
      </c>
      <c r="F23" s="14">
        <v>21</v>
      </c>
      <c r="G23" s="19" t="s">
        <v>201</v>
      </c>
    </row>
    <row r="24" spans="1:7" x14ac:dyDescent="0.2">
      <c r="A24" s="60">
        <v>64</v>
      </c>
      <c r="B24" s="61">
        <v>0.61111111111111105</v>
      </c>
      <c r="C24" s="95" t="s">
        <v>21</v>
      </c>
      <c r="D24" s="62">
        <v>14</v>
      </c>
      <c r="E24" s="63" t="s">
        <v>194</v>
      </c>
      <c r="F24" s="62">
        <v>20</v>
      </c>
      <c r="G24" s="63" t="s">
        <v>200</v>
      </c>
    </row>
    <row r="25" spans="1:7" x14ac:dyDescent="0.2">
      <c r="A25" s="6">
        <v>68</v>
      </c>
      <c r="B25" s="22">
        <v>0.61805555555555558</v>
      </c>
      <c r="C25" s="95" t="s">
        <v>21</v>
      </c>
      <c r="D25" s="14">
        <v>27</v>
      </c>
      <c r="E25" s="19" t="s">
        <v>207</v>
      </c>
      <c r="F25" s="14">
        <v>33</v>
      </c>
      <c r="G25" s="19" t="s">
        <v>213</v>
      </c>
    </row>
    <row r="26" spans="1:7" x14ac:dyDescent="0.2">
      <c r="A26" s="60">
        <v>70</v>
      </c>
      <c r="B26" s="61">
        <v>0.625</v>
      </c>
      <c r="C26" s="95" t="s">
        <v>21</v>
      </c>
      <c r="D26" s="62">
        <v>26</v>
      </c>
      <c r="E26" s="63" t="s">
        <v>206</v>
      </c>
      <c r="F26" s="62">
        <v>32</v>
      </c>
      <c r="G26" s="63" t="s">
        <v>212</v>
      </c>
    </row>
  </sheetData>
  <printOptions verticalCentered="1"/>
  <pageMargins left="0.25" right="0.25" top="0.75" bottom="0.75" header="0.3" footer="0.3"/>
  <pageSetup scale="110" orientation="landscape" r:id="rId1"/>
  <headerFooter>
    <oddHeader>&amp;C&amp;16BLUE TABLE SCHEDULE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G26"/>
  <sheetViews>
    <sheetView workbookViewId="0">
      <selection activeCell="A26" sqref="A26:XFD26"/>
    </sheetView>
  </sheetViews>
  <sheetFormatPr defaultRowHeight="12.75" x14ac:dyDescent="0.2"/>
  <cols>
    <col min="1" max="1" width="9.140625" customWidth="1"/>
    <col min="4" max="4" width="9.140625" style="15"/>
    <col min="5" max="5" width="37.7109375" customWidth="1"/>
    <col min="6" max="6" width="9.140625" style="15"/>
    <col min="7" max="7" width="37.7109375" customWidth="1"/>
  </cols>
  <sheetData>
    <row r="1" spans="1:7" x14ac:dyDescent="0.2">
      <c r="A1" s="10"/>
      <c r="B1" s="11"/>
      <c r="C1" s="11" t="s">
        <v>9</v>
      </c>
      <c r="D1" s="12" t="s">
        <v>15</v>
      </c>
      <c r="E1" s="11" t="s">
        <v>15</v>
      </c>
      <c r="F1" s="12" t="s">
        <v>17</v>
      </c>
      <c r="G1" s="11" t="s">
        <v>17</v>
      </c>
    </row>
    <row r="2" spans="1:7" x14ac:dyDescent="0.2">
      <c r="A2" s="8" t="s">
        <v>10</v>
      </c>
      <c r="B2" s="9" t="s">
        <v>18</v>
      </c>
      <c r="C2" s="9" t="s">
        <v>16</v>
      </c>
      <c r="D2" s="13" t="s">
        <v>12</v>
      </c>
      <c r="E2" s="9" t="s">
        <v>1</v>
      </c>
      <c r="F2" s="13" t="s">
        <v>12</v>
      </c>
      <c r="G2" s="9" t="s">
        <v>1</v>
      </c>
    </row>
    <row r="3" spans="1:7" x14ac:dyDescent="0.2">
      <c r="A3" s="6">
        <v>2</v>
      </c>
      <c r="B3" s="22">
        <v>0.375</v>
      </c>
      <c r="C3" s="94" t="s">
        <v>20</v>
      </c>
      <c r="D3" s="14">
        <v>3</v>
      </c>
      <c r="E3" s="19" t="s">
        <v>183</v>
      </c>
      <c r="F3" s="14">
        <v>4</v>
      </c>
      <c r="G3" s="19" t="s">
        <v>184</v>
      </c>
    </row>
    <row r="4" spans="1:7" x14ac:dyDescent="0.2">
      <c r="A4" s="60">
        <v>5</v>
      </c>
      <c r="B4" s="61">
        <v>0.3888888888888889</v>
      </c>
      <c r="C4" s="94" t="s">
        <v>20</v>
      </c>
      <c r="D4" s="62">
        <v>9</v>
      </c>
      <c r="E4" s="63" t="s">
        <v>189</v>
      </c>
      <c r="F4" s="62">
        <v>10</v>
      </c>
      <c r="G4" s="63" t="s">
        <v>190</v>
      </c>
    </row>
    <row r="5" spans="1:7" x14ac:dyDescent="0.2">
      <c r="A5" s="6">
        <v>7</v>
      </c>
      <c r="B5" s="22">
        <v>0.39583333333333331</v>
      </c>
      <c r="C5" s="94" t="s">
        <v>20</v>
      </c>
      <c r="D5" s="14">
        <v>1</v>
      </c>
      <c r="E5" s="19" t="s">
        <v>181</v>
      </c>
      <c r="F5" s="14">
        <v>3</v>
      </c>
      <c r="G5" s="19" t="s">
        <v>183</v>
      </c>
    </row>
    <row r="6" spans="1:7" x14ac:dyDescent="0.2">
      <c r="A6" s="60">
        <v>10</v>
      </c>
      <c r="B6" s="61">
        <v>0.40277777777777773</v>
      </c>
      <c r="C6" s="94" t="s">
        <v>20</v>
      </c>
      <c r="D6" s="62">
        <v>6</v>
      </c>
      <c r="E6" s="63" t="s">
        <v>186</v>
      </c>
      <c r="F6" s="62">
        <v>8</v>
      </c>
      <c r="G6" s="63" t="s">
        <v>188</v>
      </c>
    </row>
    <row r="7" spans="1:7" x14ac:dyDescent="0.2">
      <c r="A7" s="6">
        <v>14</v>
      </c>
      <c r="B7" s="22">
        <v>0.4236111111111111</v>
      </c>
      <c r="C7" s="94" t="s">
        <v>20</v>
      </c>
      <c r="D7" s="14">
        <v>15</v>
      </c>
      <c r="E7" s="19" t="s">
        <v>195</v>
      </c>
      <c r="F7" s="14">
        <v>16</v>
      </c>
      <c r="G7" s="19" t="s">
        <v>196</v>
      </c>
    </row>
    <row r="8" spans="1:7" x14ac:dyDescent="0.2">
      <c r="A8" s="60">
        <v>17</v>
      </c>
      <c r="B8" s="61">
        <v>0.4375</v>
      </c>
      <c r="C8" s="94" t="s">
        <v>20</v>
      </c>
      <c r="D8" s="62">
        <v>21</v>
      </c>
      <c r="E8" s="63" t="s">
        <v>201</v>
      </c>
      <c r="F8" s="62">
        <v>22</v>
      </c>
      <c r="G8" s="63" t="s">
        <v>202</v>
      </c>
    </row>
    <row r="9" spans="1:7" x14ac:dyDescent="0.2">
      <c r="A9" s="6">
        <v>19</v>
      </c>
      <c r="B9" s="22">
        <v>0.44444444444444442</v>
      </c>
      <c r="C9" s="94" t="s">
        <v>20</v>
      </c>
      <c r="D9" s="14">
        <v>13</v>
      </c>
      <c r="E9" s="19" t="s">
        <v>193</v>
      </c>
      <c r="F9" s="14">
        <v>15</v>
      </c>
      <c r="G9" s="19" t="s">
        <v>195</v>
      </c>
    </row>
    <row r="10" spans="1:7" x14ac:dyDescent="0.2">
      <c r="A10" s="60">
        <v>22</v>
      </c>
      <c r="B10" s="61">
        <v>0.4513888888888889</v>
      </c>
      <c r="C10" s="94" t="s">
        <v>20</v>
      </c>
      <c r="D10" s="62">
        <v>18</v>
      </c>
      <c r="E10" s="63" t="s">
        <v>198</v>
      </c>
      <c r="F10" s="62">
        <v>20</v>
      </c>
      <c r="G10" s="63" t="s">
        <v>200</v>
      </c>
    </row>
    <row r="11" spans="1:7" x14ac:dyDescent="0.2">
      <c r="A11" s="6">
        <v>26</v>
      </c>
      <c r="B11" s="22">
        <v>0.47222222222222227</v>
      </c>
      <c r="C11" s="94" t="s">
        <v>20</v>
      </c>
      <c r="D11" s="14">
        <v>27</v>
      </c>
      <c r="E11" s="19" t="s">
        <v>207</v>
      </c>
      <c r="F11" s="14">
        <v>28</v>
      </c>
      <c r="G11" s="19" t="s">
        <v>208</v>
      </c>
    </row>
    <row r="12" spans="1:7" x14ac:dyDescent="0.2">
      <c r="A12" s="60">
        <v>29</v>
      </c>
      <c r="B12" s="61">
        <v>0.4861111111111111</v>
      </c>
      <c r="C12" s="94" t="s">
        <v>20</v>
      </c>
      <c r="D12" s="62">
        <v>33</v>
      </c>
      <c r="E12" s="63" t="s">
        <v>213</v>
      </c>
      <c r="F12" s="62">
        <v>34</v>
      </c>
      <c r="G12" s="63" t="s">
        <v>214</v>
      </c>
    </row>
    <row r="13" spans="1:7" x14ac:dyDescent="0.2">
      <c r="A13" s="6">
        <v>31</v>
      </c>
      <c r="B13" s="22">
        <v>0.49305555555555558</v>
      </c>
      <c r="C13" s="94" t="s">
        <v>20</v>
      </c>
      <c r="D13" s="14">
        <v>25</v>
      </c>
      <c r="E13" s="19" t="s">
        <v>205</v>
      </c>
      <c r="F13" s="14">
        <v>27</v>
      </c>
      <c r="G13" s="19" t="s">
        <v>207</v>
      </c>
    </row>
    <row r="14" spans="1:7" x14ac:dyDescent="0.2">
      <c r="A14" s="60">
        <v>34</v>
      </c>
      <c r="B14" s="61">
        <v>0.5</v>
      </c>
      <c r="C14" s="94" t="s">
        <v>20</v>
      </c>
      <c r="D14" s="62">
        <v>30</v>
      </c>
      <c r="E14" s="63" t="s">
        <v>210</v>
      </c>
      <c r="F14" s="62">
        <v>32</v>
      </c>
      <c r="G14" s="63" t="s">
        <v>212</v>
      </c>
    </row>
    <row r="15" spans="1:7" x14ac:dyDescent="0.2">
      <c r="A15" s="6">
        <v>38</v>
      </c>
      <c r="B15" s="22">
        <v>0.54166666666666663</v>
      </c>
      <c r="C15" s="94" t="s">
        <v>20</v>
      </c>
      <c r="D15" s="14">
        <v>2</v>
      </c>
      <c r="E15" s="19" t="s">
        <v>182</v>
      </c>
      <c r="F15" s="14">
        <v>5</v>
      </c>
      <c r="G15" s="19" t="s">
        <v>185</v>
      </c>
    </row>
    <row r="16" spans="1:7" x14ac:dyDescent="0.2">
      <c r="A16" s="60">
        <v>41</v>
      </c>
      <c r="B16" s="61">
        <v>0.54861111111111105</v>
      </c>
      <c r="C16" s="94" t="s">
        <v>20</v>
      </c>
      <c r="D16" s="62">
        <v>8</v>
      </c>
      <c r="E16" s="63" t="s">
        <v>188</v>
      </c>
      <c r="F16" s="62">
        <v>11</v>
      </c>
      <c r="G16" s="63" t="s">
        <v>191</v>
      </c>
    </row>
    <row r="17" spans="1:7" x14ac:dyDescent="0.2">
      <c r="A17" s="6">
        <v>44</v>
      </c>
      <c r="B17" s="22">
        <v>0.55555555555555558</v>
      </c>
      <c r="C17" s="94" t="s">
        <v>20</v>
      </c>
      <c r="D17" s="14">
        <v>14</v>
      </c>
      <c r="E17" s="19" t="s">
        <v>194</v>
      </c>
      <c r="F17" s="14">
        <v>17</v>
      </c>
      <c r="G17" s="19" t="s">
        <v>197</v>
      </c>
    </row>
    <row r="18" spans="1:7" x14ac:dyDescent="0.2">
      <c r="A18" s="60">
        <v>47</v>
      </c>
      <c r="B18" s="61">
        <v>0.5625</v>
      </c>
      <c r="C18" s="94" t="s">
        <v>20</v>
      </c>
      <c r="D18" s="62">
        <v>20</v>
      </c>
      <c r="E18" s="63" t="s">
        <v>200</v>
      </c>
      <c r="F18" s="62">
        <v>23</v>
      </c>
      <c r="G18" s="63" t="s">
        <v>203</v>
      </c>
    </row>
    <row r="19" spans="1:7" x14ac:dyDescent="0.2">
      <c r="A19" s="6">
        <v>50</v>
      </c>
      <c r="B19" s="22">
        <v>0.56944444444444442</v>
      </c>
      <c r="C19" s="94" t="s">
        <v>20</v>
      </c>
      <c r="D19" s="14">
        <v>26</v>
      </c>
      <c r="E19" s="19" t="s">
        <v>206</v>
      </c>
      <c r="F19" s="14">
        <v>29</v>
      </c>
      <c r="G19" s="19" t="s">
        <v>209</v>
      </c>
    </row>
    <row r="20" spans="1:7" x14ac:dyDescent="0.2">
      <c r="A20" s="60">
        <v>53</v>
      </c>
      <c r="B20" s="61">
        <v>0.57638888888888895</v>
      </c>
      <c r="C20" s="94" t="s">
        <v>20</v>
      </c>
      <c r="D20" s="62">
        <v>32</v>
      </c>
      <c r="E20" s="63" t="s">
        <v>212</v>
      </c>
      <c r="F20" s="62">
        <v>35</v>
      </c>
      <c r="G20" s="63" t="s">
        <v>215</v>
      </c>
    </row>
    <row r="21" spans="1:7" x14ac:dyDescent="0.2">
      <c r="A21" s="6">
        <v>55</v>
      </c>
      <c r="B21" s="22">
        <v>0.59027777777777779</v>
      </c>
      <c r="C21" s="94" t="s">
        <v>20</v>
      </c>
      <c r="D21" s="14">
        <v>1</v>
      </c>
      <c r="E21" s="19" t="s">
        <v>181</v>
      </c>
      <c r="F21" s="14">
        <v>7</v>
      </c>
      <c r="G21" s="19" t="s">
        <v>187</v>
      </c>
    </row>
    <row r="22" spans="1:7" x14ac:dyDescent="0.2">
      <c r="A22" s="60">
        <v>60</v>
      </c>
      <c r="B22" s="61">
        <v>0.59722222222222221</v>
      </c>
      <c r="C22" s="94" t="s">
        <v>20</v>
      </c>
      <c r="D22" s="62">
        <v>6</v>
      </c>
      <c r="E22" s="63" t="s">
        <v>186</v>
      </c>
      <c r="F22" s="62">
        <v>12</v>
      </c>
      <c r="G22" s="63" t="s">
        <v>192</v>
      </c>
    </row>
    <row r="23" spans="1:7" x14ac:dyDescent="0.2">
      <c r="A23" s="6">
        <v>61</v>
      </c>
      <c r="B23" s="22">
        <v>0.60416666666666663</v>
      </c>
      <c r="C23" s="94" t="s">
        <v>20</v>
      </c>
      <c r="D23" s="14">
        <v>13</v>
      </c>
      <c r="E23" s="19" t="s">
        <v>193</v>
      </c>
      <c r="F23" s="14">
        <v>19</v>
      </c>
      <c r="G23" s="19" t="s">
        <v>199</v>
      </c>
    </row>
    <row r="24" spans="1:7" x14ac:dyDescent="0.2">
      <c r="A24" s="60">
        <v>66</v>
      </c>
      <c r="B24" s="61">
        <v>0.61111111111111105</v>
      </c>
      <c r="C24" s="94" t="s">
        <v>20</v>
      </c>
      <c r="D24" s="62">
        <v>18</v>
      </c>
      <c r="E24" s="63" t="s">
        <v>198</v>
      </c>
      <c r="F24" s="62">
        <v>24</v>
      </c>
      <c r="G24" s="63" t="s">
        <v>204</v>
      </c>
    </row>
    <row r="25" spans="1:7" x14ac:dyDescent="0.2">
      <c r="A25" s="6">
        <v>67</v>
      </c>
      <c r="B25" s="22">
        <v>0.61805555555555558</v>
      </c>
      <c r="C25" s="94" t="s">
        <v>20</v>
      </c>
      <c r="D25" s="14">
        <v>25</v>
      </c>
      <c r="E25" s="19" t="s">
        <v>205</v>
      </c>
      <c r="F25" s="14">
        <v>31</v>
      </c>
      <c r="G25" s="19" t="s">
        <v>211</v>
      </c>
    </row>
    <row r="26" spans="1:7" x14ac:dyDescent="0.2">
      <c r="A26" s="60">
        <v>72</v>
      </c>
      <c r="B26" s="61">
        <v>0.625</v>
      </c>
      <c r="C26" s="94" t="s">
        <v>20</v>
      </c>
      <c r="D26" s="62">
        <v>30</v>
      </c>
      <c r="E26" s="63" t="s">
        <v>210</v>
      </c>
      <c r="F26" s="62">
        <v>35</v>
      </c>
      <c r="G26" s="63" t="s">
        <v>215</v>
      </c>
    </row>
  </sheetData>
  <printOptions verticalCentered="1"/>
  <pageMargins left="0.25" right="0.25" top="0.75" bottom="0.75" header="0.3" footer="0.3"/>
  <pageSetup scale="110" orientation="landscape" r:id="rId1"/>
  <headerFooter>
    <oddHeader>&amp;C&amp;16YELLOW TABLE SCHEDULE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x14ac:dyDescent="0.25">
      <c r="A1" s="17" t="s">
        <v>28</v>
      </c>
      <c r="B1" s="147" t="s">
        <v>37</v>
      </c>
      <c r="C1" s="148"/>
    </row>
    <row r="2" spans="1:3" ht="18" x14ac:dyDescent="0.25">
      <c r="A2" s="16" t="s">
        <v>18</v>
      </c>
      <c r="B2" s="98" t="s">
        <v>12</v>
      </c>
      <c r="C2" s="99" t="s">
        <v>1</v>
      </c>
    </row>
    <row r="3" spans="1:3" x14ac:dyDescent="0.2">
      <c r="A3" s="22">
        <v>0.375</v>
      </c>
      <c r="B3" s="146">
        <v>25</v>
      </c>
      <c r="C3" s="146" t="s">
        <v>205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31</v>
      </c>
      <c r="C6" s="146" t="s">
        <v>211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28</v>
      </c>
      <c r="C9" s="146" t="s">
        <v>208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34</v>
      </c>
      <c r="C12" s="146" t="s">
        <v>214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1</v>
      </c>
      <c r="C16" s="146" t="s">
        <v>181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7</v>
      </c>
      <c r="C19" s="146" t="s">
        <v>187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4</v>
      </c>
      <c r="C22" s="146" t="s">
        <v>184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10</v>
      </c>
      <c r="C25" s="146" t="s">
        <v>190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13</v>
      </c>
      <c r="C29" s="146" t="s">
        <v>193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19</v>
      </c>
      <c r="C32" s="146" t="s">
        <v>199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16</v>
      </c>
      <c r="C35" s="146" t="s">
        <v>196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22</v>
      </c>
      <c r="C38" s="146" t="s">
        <v>202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C35:C37"/>
    <mergeCell ref="C38:C40"/>
    <mergeCell ref="B35:B37"/>
    <mergeCell ref="B38:B40"/>
    <mergeCell ref="C3:C5"/>
    <mergeCell ref="C6:C8"/>
    <mergeCell ref="C9:C11"/>
    <mergeCell ref="C12:C14"/>
    <mergeCell ref="C16:C18"/>
    <mergeCell ref="C19:C21"/>
    <mergeCell ref="C22:C24"/>
    <mergeCell ref="C25:C27"/>
    <mergeCell ref="B16:B18"/>
    <mergeCell ref="B22:B24"/>
    <mergeCell ref="B25:B27"/>
    <mergeCell ref="B29:B31"/>
    <mergeCell ref="B32:B34"/>
    <mergeCell ref="B1:C1"/>
    <mergeCell ref="C29:C31"/>
    <mergeCell ref="C32:C34"/>
    <mergeCell ref="B3:B5"/>
    <mergeCell ref="B6:B8"/>
    <mergeCell ref="B9:B11"/>
    <mergeCell ref="B12:B14"/>
    <mergeCell ref="B19:B21"/>
  </mergeCells>
  <printOptions horizontalCentered="1" verticalCentered="1"/>
  <pageMargins left="0.7" right="0.7" top="0.75" bottom="0.75" header="0.3" footer="0.3"/>
  <pageSetup scale="12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29</v>
      </c>
      <c r="B1" s="147" t="s">
        <v>38</v>
      </c>
      <c r="C1" s="148"/>
    </row>
    <row r="2" spans="1:3" ht="18" x14ac:dyDescent="0.25">
      <c r="A2" s="16" t="s">
        <v>18</v>
      </c>
      <c r="B2" s="98" t="s">
        <v>12</v>
      </c>
      <c r="C2" s="99" t="s">
        <v>1</v>
      </c>
    </row>
    <row r="3" spans="1:3" x14ac:dyDescent="0.2">
      <c r="A3" s="22">
        <v>0.375</v>
      </c>
      <c r="B3" s="146">
        <v>26</v>
      </c>
      <c r="C3" s="146" t="s">
        <v>206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32</v>
      </c>
      <c r="C6" s="146" t="s">
        <v>212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29</v>
      </c>
      <c r="C9" s="146" t="s">
        <v>209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35</v>
      </c>
      <c r="C12" s="149" t="s">
        <v>215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2</v>
      </c>
      <c r="C16" s="146" t="s">
        <v>182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8</v>
      </c>
      <c r="C19" s="146" t="s">
        <v>188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5</v>
      </c>
      <c r="C22" s="146" t="s">
        <v>185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11</v>
      </c>
      <c r="C25" s="146" t="s">
        <v>191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14</v>
      </c>
      <c r="C29" s="146" t="s">
        <v>194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20</v>
      </c>
      <c r="C32" s="146" t="s">
        <v>200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17</v>
      </c>
      <c r="C35" s="146" t="s">
        <v>197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23</v>
      </c>
      <c r="C38" s="146" t="s">
        <v>203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7" right="0.7" top="0.75" bottom="0.75" header="0.3" footer="0.3"/>
  <pageSetup scale="12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30</v>
      </c>
      <c r="B1" s="147" t="s">
        <v>39</v>
      </c>
      <c r="C1" s="148"/>
    </row>
    <row r="2" spans="1:3" ht="18" x14ac:dyDescent="0.25">
      <c r="A2" s="16" t="s">
        <v>18</v>
      </c>
      <c r="B2" s="98" t="s">
        <v>12</v>
      </c>
      <c r="C2" s="99" t="s">
        <v>1</v>
      </c>
    </row>
    <row r="3" spans="1:3" x14ac:dyDescent="0.2">
      <c r="A3" s="22">
        <v>0.375</v>
      </c>
      <c r="B3" s="146">
        <v>27</v>
      </c>
      <c r="C3" s="146" t="s">
        <v>207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33</v>
      </c>
      <c r="C6" s="146" t="s">
        <v>213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30</v>
      </c>
      <c r="C9" s="146" t="s">
        <v>210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36</v>
      </c>
      <c r="C12" s="146" t="s">
        <v>216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3</v>
      </c>
      <c r="C16" s="146" t="s">
        <v>183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9</v>
      </c>
      <c r="C19" s="146" t="s">
        <v>189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6</v>
      </c>
      <c r="C22" s="146" t="s">
        <v>186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12</v>
      </c>
      <c r="C25" s="146" t="s">
        <v>192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15</v>
      </c>
      <c r="C29" s="146" t="s">
        <v>195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21</v>
      </c>
      <c r="C32" s="146" t="s">
        <v>201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18</v>
      </c>
      <c r="C35" s="146" t="s">
        <v>198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24</v>
      </c>
      <c r="C38" s="146" t="s">
        <v>204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25" right="0.25" top="0.75" bottom="0.75" header="0.3" footer="0.3"/>
  <pageSetup scale="12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59999389629810485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34</v>
      </c>
      <c r="B1" s="150" t="s">
        <v>43</v>
      </c>
      <c r="C1" s="151"/>
    </row>
    <row r="2" spans="1:3" ht="18" x14ac:dyDescent="0.25">
      <c r="A2" s="16" t="s">
        <v>18</v>
      </c>
      <c r="B2" s="100" t="s">
        <v>12</v>
      </c>
      <c r="C2" s="101" t="s">
        <v>1</v>
      </c>
    </row>
    <row r="3" spans="1:3" x14ac:dyDescent="0.2">
      <c r="A3" s="22">
        <v>0.375</v>
      </c>
      <c r="B3" s="146">
        <v>13</v>
      </c>
      <c r="C3" s="146" t="s">
        <v>193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16</v>
      </c>
      <c r="C6" s="146" t="s">
        <v>196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19</v>
      </c>
      <c r="C9" s="146" t="s">
        <v>199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22</v>
      </c>
      <c r="C12" s="146" t="s">
        <v>202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25</v>
      </c>
      <c r="C16" s="146" t="s">
        <v>205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28</v>
      </c>
      <c r="C19" s="146" t="s">
        <v>208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31</v>
      </c>
      <c r="C22" s="146" t="s">
        <v>211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34</v>
      </c>
      <c r="C25" s="146" t="s">
        <v>214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</v>
      </c>
      <c r="C29" s="146" t="s">
        <v>181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4</v>
      </c>
      <c r="C32" s="146" t="s">
        <v>184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7</v>
      </c>
      <c r="C35" s="146" t="s">
        <v>187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10</v>
      </c>
      <c r="C38" s="146" t="s">
        <v>190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25" right="0.25" top="0.75" bottom="0.75" header="0.3" footer="0.3"/>
  <pageSetup scale="12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35</v>
      </c>
      <c r="B1" s="150" t="s">
        <v>44</v>
      </c>
      <c r="C1" s="151"/>
    </row>
    <row r="2" spans="1:3" ht="18" x14ac:dyDescent="0.25">
      <c r="A2" s="16" t="s">
        <v>18</v>
      </c>
      <c r="B2" s="100" t="s">
        <v>12</v>
      </c>
      <c r="C2" s="101" t="s">
        <v>1</v>
      </c>
    </row>
    <row r="3" spans="1:3" x14ac:dyDescent="0.2">
      <c r="A3" s="22">
        <v>0.375</v>
      </c>
      <c r="B3" s="146">
        <v>14</v>
      </c>
      <c r="C3" s="146" t="s">
        <v>194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17</v>
      </c>
      <c r="C6" s="146" t="s">
        <v>197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20</v>
      </c>
      <c r="C9" s="146" t="s">
        <v>200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23</v>
      </c>
      <c r="C12" s="146" t="s">
        <v>203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26</v>
      </c>
      <c r="C16" s="146" t="s">
        <v>206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29</v>
      </c>
      <c r="C19" s="146" t="s">
        <v>209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32</v>
      </c>
      <c r="C22" s="146" t="s">
        <v>212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35</v>
      </c>
      <c r="C25" s="149" t="s">
        <v>215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2</v>
      </c>
      <c r="C29" s="146" t="s">
        <v>182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5</v>
      </c>
      <c r="C32" s="146" t="s">
        <v>185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8</v>
      </c>
      <c r="C35" s="146" t="s">
        <v>188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11</v>
      </c>
      <c r="C38" s="146" t="s">
        <v>191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25" right="0.25" top="0.75" bottom="0.75" header="0.3" footer="0.3"/>
  <pageSetup scale="12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36</v>
      </c>
      <c r="B1" s="150" t="s">
        <v>45</v>
      </c>
      <c r="C1" s="151"/>
    </row>
    <row r="2" spans="1:3" ht="18" x14ac:dyDescent="0.25">
      <c r="A2" s="16" t="s">
        <v>18</v>
      </c>
      <c r="B2" s="100" t="s">
        <v>12</v>
      </c>
      <c r="C2" s="101" t="s">
        <v>1</v>
      </c>
    </row>
    <row r="3" spans="1:3" x14ac:dyDescent="0.2">
      <c r="A3" s="22">
        <v>0.375</v>
      </c>
      <c r="B3" s="146">
        <v>15</v>
      </c>
      <c r="C3" s="146" t="s">
        <v>195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18</v>
      </c>
      <c r="C6" s="146" t="s">
        <v>198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21</v>
      </c>
      <c r="C9" s="146" t="s">
        <v>201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24</v>
      </c>
      <c r="C12" s="146" t="s">
        <v>204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27</v>
      </c>
      <c r="C16" s="146" t="s">
        <v>207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30</v>
      </c>
      <c r="C19" s="146" t="s">
        <v>210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33</v>
      </c>
      <c r="C22" s="146" t="s">
        <v>213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36</v>
      </c>
      <c r="C25" s="146" t="s">
        <v>216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3</v>
      </c>
      <c r="C29" s="146" t="s">
        <v>183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6</v>
      </c>
      <c r="C32" s="146" t="s">
        <v>186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9</v>
      </c>
      <c r="C35" s="146" t="s">
        <v>189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12</v>
      </c>
      <c r="C38" s="146" t="s">
        <v>192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7" right="0.7" top="0.75" bottom="0.75" header="0.3" footer="0.3"/>
  <pageSetup scale="125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31</v>
      </c>
      <c r="B1" s="152" t="s">
        <v>40</v>
      </c>
      <c r="C1" s="153"/>
    </row>
    <row r="2" spans="1:3" ht="18" x14ac:dyDescent="0.25">
      <c r="A2" s="16" t="s">
        <v>18</v>
      </c>
      <c r="B2" s="96" t="s">
        <v>12</v>
      </c>
      <c r="C2" s="97" t="s">
        <v>1</v>
      </c>
    </row>
    <row r="3" spans="1:3" x14ac:dyDescent="0.2">
      <c r="A3" s="22">
        <v>0.375</v>
      </c>
      <c r="B3" s="146">
        <v>28</v>
      </c>
      <c r="C3" s="146" t="s">
        <v>208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34</v>
      </c>
      <c r="C6" s="146" t="s">
        <v>214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25</v>
      </c>
      <c r="C9" s="146" t="s">
        <v>205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31</v>
      </c>
      <c r="C12" s="146" t="s">
        <v>211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4</v>
      </c>
      <c r="C16" s="146" t="s">
        <v>184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10</v>
      </c>
      <c r="C19" s="146" t="s">
        <v>190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1</v>
      </c>
      <c r="C22" s="146" t="s">
        <v>181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7</v>
      </c>
      <c r="C25" s="146" t="s">
        <v>187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16</v>
      </c>
      <c r="C29" s="146" t="s">
        <v>196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22</v>
      </c>
      <c r="C32" s="146" t="s">
        <v>202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13</v>
      </c>
      <c r="C35" s="146" t="s">
        <v>193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19</v>
      </c>
      <c r="C38" s="146" t="s">
        <v>199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7" right="0.7" top="0.75" bottom="0.75" header="0.3" footer="0.3"/>
  <pageSetup scale="12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32</v>
      </c>
      <c r="B1" s="152" t="s">
        <v>41</v>
      </c>
      <c r="C1" s="153"/>
    </row>
    <row r="2" spans="1:3" ht="18" x14ac:dyDescent="0.25">
      <c r="A2" s="16" t="s">
        <v>18</v>
      </c>
      <c r="B2" s="96" t="s">
        <v>12</v>
      </c>
      <c r="C2" s="97" t="s">
        <v>1</v>
      </c>
    </row>
    <row r="3" spans="1:3" x14ac:dyDescent="0.2">
      <c r="A3" s="22">
        <v>0.375</v>
      </c>
      <c r="B3" s="146">
        <v>29</v>
      </c>
      <c r="C3" s="146" t="s">
        <v>209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35</v>
      </c>
      <c r="C6" s="149" t="s">
        <v>215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26</v>
      </c>
      <c r="C9" s="146" t="s">
        <v>206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32</v>
      </c>
      <c r="C12" s="146" t="s">
        <v>212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5</v>
      </c>
      <c r="C16" s="146" t="s">
        <v>185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11</v>
      </c>
      <c r="C19" s="146" t="s">
        <v>191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2</v>
      </c>
      <c r="C22" s="146" t="s">
        <v>182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8</v>
      </c>
      <c r="C25" s="146" t="s">
        <v>188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17</v>
      </c>
      <c r="C29" s="146" t="s">
        <v>197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23</v>
      </c>
      <c r="C32" s="146" t="s">
        <v>203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14</v>
      </c>
      <c r="C35" s="146" t="s">
        <v>194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20</v>
      </c>
      <c r="C38" s="146" t="s">
        <v>200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25" right="0.25" top="0.75" bottom="0.75" header="0.3" footer="0.3"/>
  <pageSetup scale="12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C40"/>
  <sheetViews>
    <sheetView zoomScale="90" zoomScaleNormal="90" workbookViewId="0">
      <selection activeCell="C38" sqref="C38:C40"/>
    </sheetView>
  </sheetViews>
  <sheetFormatPr defaultRowHeight="12.75" x14ac:dyDescent="0.2"/>
  <cols>
    <col min="1" max="1" width="20.7109375" customWidth="1"/>
    <col min="2" max="2" width="10.7109375" customWidth="1"/>
    <col min="3" max="3" width="40.7109375" customWidth="1"/>
  </cols>
  <sheetData>
    <row r="1" spans="1:3" ht="18" customHeight="1" x14ac:dyDescent="0.25">
      <c r="A1" s="17" t="s">
        <v>33</v>
      </c>
      <c r="B1" s="152" t="s">
        <v>42</v>
      </c>
      <c r="C1" s="153"/>
    </row>
    <row r="2" spans="1:3" ht="18" x14ac:dyDescent="0.25">
      <c r="A2" s="16" t="s">
        <v>18</v>
      </c>
      <c r="B2" s="96" t="s">
        <v>12</v>
      </c>
      <c r="C2" s="97" t="s">
        <v>1</v>
      </c>
    </row>
    <row r="3" spans="1:3" x14ac:dyDescent="0.2">
      <c r="A3" s="22">
        <v>0.375</v>
      </c>
      <c r="B3" s="146">
        <v>30</v>
      </c>
      <c r="C3" s="146" t="s">
        <v>210</v>
      </c>
    </row>
    <row r="4" spans="1:3" x14ac:dyDescent="0.2">
      <c r="A4" s="22">
        <v>0.37847222222222227</v>
      </c>
      <c r="B4" s="146"/>
      <c r="C4" s="146"/>
    </row>
    <row r="5" spans="1:3" x14ac:dyDescent="0.2">
      <c r="A5" s="23">
        <v>0.38194444444444442</v>
      </c>
      <c r="B5" s="146"/>
      <c r="C5" s="146"/>
    </row>
    <row r="6" spans="1:3" x14ac:dyDescent="0.2">
      <c r="A6" s="22">
        <v>0.38541666666666669</v>
      </c>
      <c r="B6" s="146">
        <v>36</v>
      </c>
      <c r="C6" s="146" t="s">
        <v>216</v>
      </c>
    </row>
    <row r="7" spans="1:3" x14ac:dyDescent="0.2">
      <c r="A7" s="22">
        <v>0.3888888888888889</v>
      </c>
      <c r="B7" s="146"/>
      <c r="C7" s="146"/>
    </row>
    <row r="8" spans="1:3" x14ac:dyDescent="0.2">
      <c r="A8" s="23">
        <v>0.3923611111111111</v>
      </c>
      <c r="B8" s="146"/>
      <c r="C8" s="146"/>
    </row>
    <row r="9" spans="1:3" x14ac:dyDescent="0.2">
      <c r="A9" s="22">
        <v>0.39583333333333331</v>
      </c>
      <c r="B9" s="146">
        <v>27</v>
      </c>
      <c r="C9" s="146" t="s">
        <v>207</v>
      </c>
    </row>
    <row r="10" spans="1:3" x14ac:dyDescent="0.2">
      <c r="A10" s="22">
        <v>0.39930555555555558</v>
      </c>
      <c r="B10" s="146"/>
      <c r="C10" s="146"/>
    </row>
    <row r="11" spans="1:3" x14ac:dyDescent="0.2">
      <c r="A11" s="23">
        <v>0.40277777777777773</v>
      </c>
      <c r="B11" s="146"/>
      <c r="C11" s="146"/>
    </row>
    <row r="12" spans="1:3" x14ac:dyDescent="0.2">
      <c r="A12" s="22">
        <v>0.40625</v>
      </c>
      <c r="B12" s="146">
        <v>33</v>
      </c>
      <c r="C12" s="146" t="s">
        <v>213</v>
      </c>
    </row>
    <row r="13" spans="1:3" x14ac:dyDescent="0.2">
      <c r="A13" s="22">
        <v>0.40972222222222227</v>
      </c>
      <c r="B13" s="146"/>
      <c r="C13" s="146"/>
    </row>
    <row r="14" spans="1:3" x14ac:dyDescent="0.2">
      <c r="A14" s="23">
        <v>0.41319444444444442</v>
      </c>
      <c r="B14" s="146"/>
      <c r="C14" s="146"/>
    </row>
    <row r="15" spans="1:3" ht="25.5" customHeight="1" x14ac:dyDescent="0.2">
      <c r="A15" s="41" t="s">
        <v>14</v>
      </c>
      <c r="B15" s="42"/>
      <c r="C15" s="43"/>
    </row>
    <row r="16" spans="1:3" x14ac:dyDescent="0.2">
      <c r="A16" s="22">
        <v>0.4236111111111111</v>
      </c>
      <c r="B16" s="146">
        <v>6</v>
      </c>
      <c r="C16" s="146" t="s">
        <v>186</v>
      </c>
    </row>
    <row r="17" spans="1:3" x14ac:dyDescent="0.2">
      <c r="A17" s="22">
        <v>0.42708333333333331</v>
      </c>
      <c r="B17" s="146"/>
      <c r="C17" s="146"/>
    </row>
    <row r="18" spans="1:3" x14ac:dyDescent="0.2">
      <c r="A18" s="23">
        <v>0.43055555555555602</v>
      </c>
      <c r="B18" s="146"/>
      <c r="C18" s="146"/>
    </row>
    <row r="19" spans="1:3" x14ac:dyDescent="0.2">
      <c r="A19" s="22">
        <v>0.43402777777777801</v>
      </c>
      <c r="B19" s="146">
        <v>12</v>
      </c>
      <c r="C19" s="146" t="s">
        <v>192</v>
      </c>
    </row>
    <row r="20" spans="1:3" x14ac:dyDescent="0.2">
      <c r="A20" s="22">
        <v>0.4375</v>
      </c>
      <c r="B20" s="146"/>
      <c r="C20" s="146"/>
    </row>
    <row r="21" spans="1:3" x14ac:dyDescent="0.2">
      <c r="A21" s="23">
        <v>0.44097222222222199</v>
      </c>
      <c r="B21" s="146"/>
      <c r="C21" s="146"/>
    </row>
    <row r="22" spans="1:3" x14ac:dyDescent="0.2">
      <c r="A22" s="22">
        <v>0.44444444444444398</v>
      </c>
      <c r="B22" s="146">
        <v>3</v>
      </c>
      <c r="C22" s="146" t="s">
        <v>183</v>
      </c>
    </row>
    <row r="23" spans="1:3" x14ac:dyDescent="0.2">
      <c r="A23" s="22">
        <v>0.44791666666666702</v>
      </c>
      <c r="B23" s="146"/>
      <c r="C23" s="146"/>
    </row>
    <row r="24" spans="1:3" x14ac:dyDescent="0.2">
      <c r="A24" s="23">
        <v>0.45138888888888901</v>
      </c>
      <c r="B24" s="146"/>
      <c r="C24" s="146"/>
    </row>
    <row r="25" spans="1:3" x14ac:dyDescent="0.2">
      <c r="A25" s="22">
        <v>0.45486111111111099</v>
      </c>
      <c r="B25" s="146">
        <v>9</v>
      </c>
      <c r="C25" s="146" t="s">
        <v>189</v>
      </c>
    </row>
    <row r="26" spans="1:3" x14ac:dyDescent="0.2">
      <c r="A26" s="22">
        <v>0.45833333333333298</v>
      </c>
      <c r="B26" s="146"/>
      <c r="C26" s="146"/>
    </row>
    <row r="27" spans="1:3" x14ac:dyDescent="0.2">
      <c r="A27" s="23">
        <v>0.46180555555555503</v>
      </c>
      <c r="B27" s="146"/>
      <c r="C27" s="146"/>
    </row>
    <row r="28" spans="1:3" ht="25.5" customHeight="1" x14ac:dyDescent="0.2">
      <c r="A28" s="41" t="s">
        <v>14</v>
      </c>
      <c r="B28" s="42"/>
      <c r="C28" s="43"/>
    </row>
    <row r="29" spans="1:3" x14ac:dyDescent="0.2">
      <c r="A29" s="22">
        <v>0.47222222222222227</v>
      </c>
      <c r="B29" s="146">
        <v>18</v>
      </c>
      <c r="C29" s="146" t="s">
        <v>198</v>
      </c>
    </row>
    <row r="30" spans="1:3" x14ac:dyDescent="0.2">
      <c r="A30" s="22">
        <v>0.47569444444444442</v>
      </c>
      <c r="B30" s="146"/>
      <c r="C30" s="146"/>
    </row>
    <row r="31" spans="1:3" x14ac:dyDescent="0.2">
      <c r="A31" s="23">
        <v>0.47916666666666669</v>
      </c>
      <c r="B31" s="146"/>
      <c r="C31" s="146"/>
    </row>
    <row r="32" spans="1:3" x14ac:dyDescent="0.2">
      <c r="A32" s="22">
        <v>0.4826388888888889</v>
      </c>
      <c r="B32" s="146">
        <v>24</v>
      </c>
      <c r="C32" s="146" t="s">
        <v>204</v>
      </c>
    </row>
    <row r="33" spans="1:3" x14ac:dyDescent="0.2">
      <c r="A33" s="22">
        <v>0.48611111111111099</v>
      </c>
      <c r="B33" s="146"/>
      <c r="C33" s="146"/>
    </row>
    <row r="34" spans="1:3" x14ac:dyDescent="0.2">
      <c r="A34" s="23">
        <v>0.48958333333333298</v>
      </c>
      <c r="B34" s="146"/>
      <c r="C34" s="146"/>
    </row>
    <row r="35" spans="1:3" x14ac:dyDescent="0.2">
      <c r="A35" s="22">
        <v>0.49305555555555503</v>
      </c>
      <c r="B35" s="146">
        <v>15</v>
      </c>
      <c r="C35" s="146" t="s">
        <v>195</v>
      </c>
    </row>
    <row r="36" spans="1:3" x14ac:dyDescent="0.2">
      <c r="A36" s="22">
        <v>0.49652777777777801</v>
      </c>
      <c r="B36" s="146"/>
      <c r="C36" s="146"/>
    </row>
    <row r="37" spans="1:3" x14ac:dyDescent="0.2">
      <c r="A37" s="23">
        <v>0.5</v>
      </c>
      <c r="B37" s="146"/>
      <c r="C37" s="146"/>
    </row>
    <row r="38" spans="1:3" x14ac:dyDescent="0.2">
      <c r="A38" s="22">
        <v>0.50347222222222199</v>
      </c>
      <c r="B38" s="146">
        <v>21</v>
      </c>
      <c r="C38" s="146" t="s">
        <v>201</v>
      </c>
    </row>
    <row r="39" spans="1:3" x14ac:dyDescent="0.2">
      <c r="A39" s="22">
        <v>0.50694444444444398</v>
      </c>
      <c r="B39" s="146"/>
      <c r="C39" s="146"/>
    </row>
    <row r="40" spans="1:3" x14ac:dyDescent="0.2">
      <c r="A40" s="23">
        <v>0.51041666666666696</v>
      </c>
      <c r="B40" s="146"/>
      <c r="C40" s="146"/>
    </row>
  </sheetData>
  <mergeCells count="25">
    <mergeCell ref="B32:B34"/>
    <mergeCell ref="C32:C34"/>
    <mergeCell ref="B35:B37"/>
    <mergeCell ref="C35:C37"/>
    <mergeCell ref="B38:B40"/>
    <mergeCell ref="C38:C40"/>
    <mergeCell ref="B22:B24"/>
    <mergeCell ref="C22:C24"/>
    <mergeCell ref="B25:B27"/>
    <mergeCell ref="C25:C27"/>
    <mergeCell ref="B29:B31"/>
    <mergeCell ref="C29:C31"/>
    <mergeCell ref="B12:B14"/>
    <mergeCell ref="C12:C14"/>
    <mergeCell ref="B16:B18"/>
    <mergeCell ref="C16:C18"/>
    <mergeCell ref="B19:B21"/>
    <mergeCell ref="C19:C21"/>
    <mergeCell ref="B9:B11"/>
    <mergeCell ref="C9:C11"/>
    <mergeCell ref="B1:C1"/>
    <mergeCell ref="B3:B5"/>
    <mergeCell ref="C3:C5"/>
    <mergeCell ref="B6:B8"/>
    <mergeCell ref="C6:C8"/>
  </mergeCells>
  <printOptions horizontalCentered="1" verticalCentered="1"/>
  <pageMargins left="0.7" right="0.7" top="0.75" bottom="0.75" header="0.3" footer="0.3"/>
  <pageSetup scale="12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B19"/>
  <sheetViews>
    <sheetView zoomScale="90" zoomScaleNormal="90" workbookViewId="0">
      <selection activeCell="G16" sqref="G16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/>
      <c r="B2" s="29"/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/>
      <c r="B5" s="32"/>
    </row>
    <row r="6" spans="1:2" ht="20.100000000000001" customHeight="1" x14ac:dyDescent="0.25">
      <c r="A6" s="30"/>
      <c r="B6" s="32"/>
    </row>
    <row r="7" spans="1:2" ht="20.100000000000001" customHeight="1" x14ac:dyDescent="0.25">
      <c r="A7" s="30"/>
      <c r="B7" s="32"/>
    </row>
    <row r="8" spans="1:2" ht="20.100000000000001" customHeight="1" x14ac:dyDescent="0.25">
      <c r="A8" s="30"/>
      <c r="B8" s="32"/>
    </row>
    <row r="9" spans="1:2" ht="20.100000000000001" customHeight="1" x14ac:dyDescent="0.25">
      <c r="A9" s="30"/>
      <c r="B9" s="32"/>
    </row>
    <row r="10" spans="1:2" ht="20.100000000000001" customHeight="1" x14ac:dyDescent="0.25">
      <c r="A10" s="30"/>
      <c r="B10" s="32"/>
    </row>
    <row r="11" spans="1:2" ht="20.100000000000001" customHeight="1" x14ac:dyDescent="0.25">
      <c r="A11" s="30"/>
      <c r="B11" s="32"/>
    </row>
    <row r="12" spans="1:2" ht="20.100000000000001" customHeight="1" x14ac:dyDescent="0.25">
      <c r="A12" s="30"/>
      <c r="B12" s="32"/>
    </row>
    <row r="13" spans="1:2" ht="20.100000000000001" customHeight="1" x14ac:dyDescent="0.25">
      <c r="A13" s="30"/>
      <c r="B13" s="32"/>
    </row>
    <row r="14" spans="1:2" ht="20.100000000000001" customHeight="1" x14ac:dyDescent="0.25">
      <c r="A14" s="30"/>
      <c r="B14" s="32"/>
    </row>
    <row r="15" spans="1:2" ht="20.100000000000001" customHeight="1" x14ac:dyDescent="0.25">
      <c r="A15" s="30"/>
      <c r="B15" s="32"/>
    </row>
    <row r="16" spans="1:2" ht="20.100000000000001" customHeight="1" x14ac:dyDescent="0.25">
      <c r="A16" s="30"/>
      <c r="B16" s="32"/>
    </row>
    <row r="17" spans="1:2" ht="18" x14ac:dyDescent="0.25">
      <c r="A17" s="30"/>
      <c r="B17" s="32"/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36</v>
      </c>
      <c r="B2" s="29" t="s">
        <v>216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136</v>
      </c>
    </row>
    <row r="7" spans="1:2" ht="20.100000000000001" customHeight="1" x14ac:dyDescent="0.25">
      <c r="A7" s="30" t="s">
        <v>173</v>
      </c>
      <c r="B7" s="32" t="s">
        <v>135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142</v>
      </c>
      <c r="B9" s="32" t="s">
        <v>137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161</v>
      </c>
      <c r="B11" s="32" t="s">
        <v>46</v>
      </c>
    </row>
    <row r="12" spans="1:2" ht="20.100000000000001" customHeight="1" x14ac:dyDescent="0.25">
      <c r="A12" s="30" t="s">
        <v>162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35</v>
      </c>
      <c r="B2" s="29" t="s">
        <v>215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132</v>
      </c>
    </row>
    <row r="7" spans="1:2" ht="20.100000000000001" customHeight="1" x14ac:dyDescent="0.25">
      <c r="A7" s="30" t="s">
        <v>173</v>
      </c>
      <c r="B7" s="32" t="s">
        <v>131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142</v>
      </c>
      <c r="B9" s="32" t="s">
        <v>133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161</v>
      </c>
      <c r="B11" s="32" t="s">
        <v>46</v>
      </c>
    </row>
    <row r="12" spans="1:2" ht="20.100000000000001" customHeight="1" x14ac:dyDescent="0.25">
      <c r="A12" s="30" t="s">
        <v>162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34</v>
      </c>
      <c r="B2" s="29" t="s">
        <v>214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57</v>
      </c>
    </row>
    <row r="7" spans="1:2" ht="20.100000000000001" customHeight="1" x14ac:dyDescent="0.25">
      <c r="A7" s="30" t="s">
        <v>173</v>
      </c>
      <c r="B7" s="32" t="s">
        <v>56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142</v>
      </c>
      <c r="B9" s="32" t="s">
        <v>59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161</v>
      </c>
      <c r="B11" s="32" t="s">
        <v>46</v>
      </c>
    </row>
    <row r="12" spans="1:2" ht="20.100000000000001" customHeight="1" x14ac:dyDescent="0.25">
      <c r="A12" s="30" t="s">
        <v>162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33</v>
      </c>
      <c r="B2" s="29" t="s">
        <v>213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135</v>
      </c>
    </row>
    <row r="7" spans="1:2" ht="20.100000000000001" customHeight="1" x14ac:dyDescent="0.25">
      <c r="A7" s="30" t="s">
        <v>173</v>
      </c>
      <c r="B7" s="32" t="s">
        <v>136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128</v>
      </c>
      <c r="B9" s="32" t="s">
        <v>137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161</v>
      </c>
      <c r="B11" s="32" t="s">
        <v>46</v>
      </c>
    </row>
    <row r="12" spans="1:2" ht="20.100000000000001" customHeight="1" x14ac:dyDescent="0.25">
      <c r="A12" s="30" t="s">
        <v>162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32</v>
      </c>
      <c r="B2" s="29" t="s">
        <v>212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131</v>
      </c>
    </row>
    <row r="7" spans="1:2" ht="20.100000000000001" customHeight="1" x14ac:dyDescent="0.25">
      <c r="A7" s="30" t="s">
        <v>173</v>
      </c>
      <c r="B7" s="32" t="s">
        <v>132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128</v>
      </c>
      <c r="B9" s="32" t="s">
        <v>133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160</v>
      </c>
      <c r="B11" s="32" t="s">
        <v>46</v>
      </c>
    </row>
    <row r="12" spans="1:2" ht="20.100000000000001" customHeight="1" x14ac:dyDescent="0.25">
      <c r="A12" s="30" t="s">
        <v>177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31</v>
      </c>
      <c r="B2" s="29" t="s">
        <v>211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56</v>
      </c>
    </row>
    <row r="7" spans="1:2" ht="20.100000000000001" customHeight="1" x14ac:dyDescent="0.25">
      <c r="A7" s="30" t="s">
        <v>173</v>
      </c>
      <c r="B7" s="32" t="s">
        <v>57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128</v>
      </c>
      <c r="B9" s="32" t="s">
        <v>59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160</v>
      </c>
      <c r="B11" s="32" t="s">
        <v>46</v>
      </c>
    </row>
    <row r="12" spans="1:2" ht="20.100000000000001" customHeight="1" x14ac:dyDescent="0.25">
      <c r="A12" s="30" t="s">
        <v>177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178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30</v>
      </c>
      <c r="B2" s="29" t="s">
        <v>210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136</v>
      </c>
    </row>
    <row r="7" spans="1:2" ht="20.100000000000001" customHeight="1" x14ac:dyDescent="0.25">
      <c r="A7" s="30" t="s">
        <v>155</v>
      </c>
      <c r="B7" s="32" t="s">
        <v>135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137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160</v>
      </c>
      <c r="B11" s="32" t="s">
        <v>46</v>
      </c>
    </row>
    <row r="12" spans="1:2" ht="20.100000000000001" customHeight="1" x14ac:dyDescent="0.25">
      <c r="A12" s="30" t="s">
        <v>177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29</v>
      </c>
      <c r="B2" s="29" t="s">
        <v>209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132</v>
      </c>
    </row>
    <row r="7" spans="1:2" ht="20.100000000000001" customHeight="1" x14ac:dyDescent="0.25">
      <c r="A7" s="30" t="s">
        <v>155</v>
      </c>
      <c r="B7" s="32" t="s">
        <v>131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133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160</v>
      </c>
      <c r="B11" s="32" t="s">
        <v>46</v>
      </c>
    </row>
    <row r="12" spans="1:2" ht="20.100000000000001" customHeight="1" x14ac:dyDescent="0.25">
      <c r="A12" s="30" t="s">
        <v>177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28</v>
      </c>
      <c r="B2" s="29" t="s">
        <v>208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57</v>
      </c>
    </row>
    <row r="7" spans="1:2" ht="20.100000000000001" customHeight="1" x14ac:dyDescent="0.25">
      <c r="A7" s="30" t="s">
        <v>155</v>
      </c>
      <c r="B7" s="32" t="s">
        <v>56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59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158</v>
      </c>
      <c r="B11" s="32" t="s">
        <v>46</v>
      </c>
    </row>
    <row r="12" spans="1:2" ht="20.100000000000001" customHeight="1" x14ac:dyDescent="0.25">
      <c r="A12" s="30" t="s">
        <v>174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27</v>
      </c>
      <c r="B2" s="29" t="s">
        <v>207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135</v>
      </c>
    </row>
    <row r="7" spans="1:2" ht="20.100000000000001" customHeight="1" x14ac:dyDescent="0.25">
      <c r="A7" s="30" t="s">
        <v>155</v>
      </c>
      <c r="B7" s="32" t="s">
        <v>136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137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158</v>
      </c>
      <c r="B11" s="32" t="s">
        <v>46</v>
      </c>
    </row>
    <row r="12" spans="1:2" ht="20.100000000000001" customHeight="1" x14ac:dyDescent="0.25">
      <c r="A12" s="30" t="s">
        <v>174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26</v>
      </c>
      <c r="B2" s="29" t="s">
        <v>206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131</v>
      </c>
    </row>
    <row r="7" spans="1:2" ht="20.100000000000001" customHeight="1" x14ac:dyDescent="0.25">
      <c r="A7" s="30" t="s">
        <v>155</v>
      </c>
      <c r="B7" s="32" t="s">
        <v>132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133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158</v>
      </c>
      <c r="B11" s="32" t="s">
        <v>46</v>
      </c>
    </row>
    <row r="12" spans="1:2" ht="20.100000000000001" customHeight="1" x14ac:dyDescent="0.25">
      <c r="A12" s="30" t="s">
        <v>174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176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25</v>
      </c>
      <c r="B2" s="29" t="s">
        <v>205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56</v>
      </c>
    </row>
    <row r="7" spans="1:2" ht="20.100000000000001" customHeight="1" x14ac:dyDescent="0.25">
      <c r="A7" s="30" t="s">
        <v>155</v>
      </c>
      <c r="B7" s="32" t="s">
        <v>57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59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158</v>
      </c>
      <c r="B11" s="32" t="s">
        <v>46</v>
      </c>
    </row>
    <row r="12" spans="1:2" ht="20.100000000000001" customHeight="1" x14ac:dyDescent="0.25">
      <c r="A12" s="30" t="s">
        <v>174</v>
      </c>
      <c r="B12" s="32" t="s">
        <v>46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175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24</v>
      </c>
      <c r="B2" s="29" t="s">
        <v>204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173</v>
      </c>
      <c r="B6" s="32" t="s">
        <v>137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157</v>
      </c>
      <c r="B8" s="32" t="s">
        <v>46</v>
      </c>
    </row>
    <row r="9" spans="1:2" ht="20.100000000000001" customHeight="1" x14ac:dyDescent="0.25">
      <c r="A9" s="30" t="s">
        <v>172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136</v>
      </c>
    </row>
    <row r="12" spans="1:2" ht="20.100000000000001" customHeight="1" x14ac:dyDescent="0.25">
      <c r="A12" s="30" t="s">
        <v>146</v>
      </c>
      <c r="B12" s="32" t="s">
        <v>135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23</v>
      </c>
      <c r="B2" s="29" t="s">
        <v>203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173</v>
      </c>
      <c r="B6" s="32" t="s">
        <v>133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157</v>
      </c>
      <c r="B8" s="32" t="s">
        <v>46</v>
      </c>
    </row>
    <row r="9" spans="1:2" ht="20.100000000000001" customHeight="1" x14ac:dyDescent="0.25">
      <c r="A9" s="30" t="s">
        <v>172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132</v>
      </c>
    </row>
    <row r="12" spans="1:2" ht="20.100000000000001" customHeight="1" x14ac:dyDescent="0.25">
      <c r="A12" s="30" t="s">
        <v>146</v>
      </c>
      <c r="B12" s="32" t="s">
        <v>131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22</v>
      </c>
      <c r="B2" s="29" t="s">
        <v>202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173</v>
      </c>
      <c r="B6" s="32" t="s">
        <v>59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157</v>
      </c>
      <c r="B8" s="32" t="s">
        <v>46</v>
      </c>
    </row>
    <row r="9" spans="1:2" ht="20.100000000000001" customHeight="1" x14ac:dyDescent="0.25">
      <c r="A9" s="30" t="s">
        <v>172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57</v>
      </c>
    </row>
    <row r="12" spans="1:2" ht="20.100000000000001" customHeight="1" x14ac:dyDescent="0.25">
      <c r="A12" s="30" t="s">
        <v>146</v>
      </c>
      <c r="B12" s="32" t="s">
        <v>56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21</v>
      </c>
      <c r="B2" s="29" t="s">
        <v>201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155</v>
      </c>
      <c r="B6" s="32" t="s">
        <v>137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157</v>
      </c>
      <c r="B8" s="32" t="s">
        <v>46</v>
      </c>
    </row>
    <row r="9" spans="1:2" ht="20.100000000000001" customHeight="1" x14ac:dyDescent="0.25">
      <c r="A9" s="30" t="s">
        <v>172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135</v>
      </c>
    </row>
    <row r="12" spans="1:2" ht="20.100000000000001" customHeight="1" x14ac:dyDescent="0.25">
      <c r="A12" s="30" t="s">
        <v>146</v>
      </c>
      <c r="B12" s="32" t="s">
        <v>136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20</v>
      </c>
      <c r="B2" s="29" t="s">
        <v>200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155</v>
      </c>
      <c r="B6" s="32" t="s">
        <v>133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154</v>
      </c>
      <c r="B8" s="32" t="s">
        <v>46</v>
      </c>
    </row>
    <row r="9" spans="1:2" ht="20.100000000000001" customHeight="1" x14ac:dyDescent="0.25">
      <c r="A9" s="30" t="s">
        <v>171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131</v>
      </c>
    </row>
    <row r="12" spans="1:2" ht="20.100000000000001" customHeight="1" x14ac:dyDescent="0.25">
      <c r="A12" s="30" t="s">
        <v>146</v>
      </c>
      <c r="B12" s="32" t="s">
        <v>132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19</v>
      </c>
      <c r="B2" s="29" t="s">
        <v>199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155</v>
      </c>
      <c r="B6" s="32" t="s">
        <v>59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154</v>
      </c>
      <c r="B8" s="32" t="s">
        <v>46</v>
      </c>
    </row>
    <row r="9" spans="1:2" ht="20.100000000000001" customHeight="1" x14ac:dyDescent="0.25">
      <c r="A9" s="30" t="s">
        <v>171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138</v>
      </c>
      <c r="B11" s="32" t="s">
        <v>56</v>
      </c>
    </row>
    <row r="12" spans="1:2" ht="20.100000000000001" customHeight="1" x14ac:dyDescent="0.25">
      <c r="A12" s="30" t="s">
        <v>146</v>
      </c>
      <c r="B12" s="32" t="s">
        <v>57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156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18</v>
      </c>
      <c r="B2" s="29" t="s">
        <v>198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137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154</v>
      </c>
      <c r="B8" s="32" t="s">
        <v>46</v>
      </c>
    </row>
    <row r="9" spans="1:2" ht="20.100000000000001" customHeight="1" x14ac:dyDescent="0.25">
      <c r="A9" s="30" t="s">
        <v>171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136</v>
      </c>
    </row>
    <row r="12" spans="1:2" ht="20.100000000000001" customHeight="1" x14ac:dyDescent="0.25">
      <c r="A12" s="30" t="s">
        <v>143</v>
      </c>
      <c r="B12" s="32" t="s">
        <v>135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17</v>
      </c>
      <c r="B2" s="29" t="s">
        <v>197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133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154</v>
      </c>
      <c r="B8" s="32" t="s">
        <v>46</v>
      </c>
    </row>
    <row r="9" spans="1:2" ht="20.100000000000001" customHeight="1" x14ac:dyDescent="0.25">
      <c r="A9" s="30" t="s">
        <v>171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132</v>
      </c>
    </row>
    <row r="12" spans="1:2" ht="20.100000000000001" customHeight="1" x14ac:dyDescent="0.25">
      <c r="A12" s="30" t="s">
        <v>143</v>
      </c>
      <c r="B12" s="32" t="s">
        <v>131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16</v>
      </c>
      <c r="B2" s="29" t="s">
        <v>196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153</v>
      </c>
      <c r="B6" s="32" t="s">
        <v>59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148</v>
      </c>
      <c r="B8" s="32" t="s">
        <v>46</v>
      </c>
    </row>
    <row r="9" spans="1:2" ht="20.100000000000001" customHeight="1" x14ac:dyDescent="0.25">
      <c r="A9" s="30" t="s">
        <v>149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57</v>
      </c>
    </row>
    <row r="12" spans="1:2" ht="20.100000000000001" customHeight="1" x14ac:dyDescent="0.25">
      <c r="A12" s="30" t="s">
        <v>143</v>
      </c>
      <c r="B12" s="32" t="s">
        <v>56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15</v>
      </c>
      <c r="B2" s="29" t="s">
        <v>195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137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148</v>
      </c>
      <c r="B8" s="32" t="s">
        <v>46</v>
      </c>
    </row>
    <row r="9" spans="1:2" ht="20.100000000000001" customHeight="1" x14ac:dyDescent="0.25">
      <c r="A9" s="30" t="s">
        <v>149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135</v>
      </c>
    </row>
    <row r="12" spans="1:2" ht="20.100000000000001" customHeight="1" x14ac:dyDescent="0.25">
      <c r="A12" s="30" t="s">
        <v>143</v>
      </c>
      <c r="B12" s="32" t="s">
        <v>136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14</v>
      </c>
      <c r="B2" s="29" t="s">
        <v>194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133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148</v>
      </c>
      <c r="B8" s="32" t="s">
        <v>46</v>
      </c>
    </row>
    <row r="9" spans="1:2" ht="20.100000000000001" customHeight="1" x14ac:dyDescent="0.25">
      <c r="A9" s="30" t="s">
        <v>149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131</v>
      </c>
    </row>
    <row r="12" spans="1:2" ht="20.100000000000001" customHeight="1" x14ac:dyDescent="0.25">
      <c r="A12" s="30" t="s">
        <v>143</v>
      </c>
      <c r="B12" s="32" t="s">
        <v>132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152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13</v>
      </c>
      <c r="B2" s="29" t="s">
        <v>193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147</v>
      </c>
      <c r="B6" s="32" t="s">
        <v>59</v>
      </c>
    </row>
    <row r="7" spans="1:2" ht="20.100000000000001" customHeight="1" x14ac:dyDescent="0.25">
      <c r="A7" s="30" t="s">
        <v>54</v>
      </c>
      <c r="B7" s="32" t="s">
        <v>55</v>
      </c>
    </row>
    <row r="8" spans="1:2" ht="20.100000000000001" customHeight="1" x14ac:dyDescent="0.25">
      <c r="A8" s="30" t="s">
        <v>148</v>
      </c>
      <c r="B8" s="32" t="s">
        <v>46</v>
      </c>
    </row>
    <row r="9" spans="1:2" ht="20.100000000000001" customHeight="1" x14ac:dyDescent="0.25">
      <c r="A9" s="30" t="s">
        <v>149</v>
      </c>
      <c r="B9" s="32" t="s">
        <v>46</v>
      </c>
    </row>
    <row r="10" spans="1:2" ht="20.100000000000001" customHeight="1" x14ac:dyDescent="0.25">
      <c r="A10" s="30" t="s">
        <v>58</v>
      </c>
      <c r="B10" s="32" t="s">
        <v>55</v>
      </c>
    </row>
    <row r="11" spans="1:2" ht="20.100000000000001" customHeight="1" x14ac:dyDescent="0.25">
      <c r="A11" s="30" t="s">
        <v>129</v>
      </c>
      <c r="B11" s="32" t="s">
        <v>56</v>
      </c>
    </row>
    <row r="12" spans="1:2" ht="20.100000000000001" customHeight="1" x14ac:dyDescent="0.25">
      <c r="A12" s="30" t="s">
        <v>143</v>
      </c>
      <c r="B12" s="32" t="s">
        <v>57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150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151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12</v>
      </c>
      <c r="B2" s="29" t="s">
        <v>192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145</v>
      </c>
      <c r="B6" s="32" t="s">
        <v>46</v>
      </c>
    </row>
    <row r="7" spans="1:2" ht="20.100000000000001" customHeight="1" x14ac:dyDescent="0.25">
      <c r="A7" s="30" t="s">
        <v>170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136</v>
      </c>
    </row>
    <row r="10" spans="1:2" ht="20.100000000000001" customHeight="1" x14ac:dyDescent="0.25">
      <c r="A10" s="30" t="s">
        <v>142</v>
      </c>
      <c r="B10" s="32" t="s">
        <v>135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146</v>
      </c>
      <c r="B12" s="32" t="s">
        <v>137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11</v>
      </c>
      <c r="B2" s="29" t="s">
        <v>191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145</v>
      </c>
      <c r="B6" s="32" t="s">
        <v>46</v>
      </c>
    </row>
    <row r="7" spans="1:2" ht="20.100000000000001" customHeight="1" x14ac:dyDescent="0.25">
      <c r="A7" s="30" t="s">
        <v>170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132</v>
      </c>
    </row>
    <row r="10" spans="1:2" ht="20.100000000000001" customHeight="1" x14ac:dyDescent="0.25">
      <c r="A10" s="30" t="s">
        <v>142</v>
      </c>
      <c r="B10" s="32" t="s">
        <v>131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146</v>
      </c>
      <c r="B12" s="32" t="s">
        <v>133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10</v>
      </c>
      <c r="B2" s="29" t="s">
        <v>190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145</v>
      </c>
      <c r="B6" s="32" t="s">
        <v>46</v>
      </c>
    </row>
    <row r="7" spans="1:2" ht="20.100000000000001" customHeight="1" x14ac:dyDescent="0.25">
      <c r="A7" s="30" t="s">
        <v>170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57</v>
      </c>
    </row>
    <row r="10" spans="1:2" ht="20.100000000000001" customHeight="1" x14ac:dyDescent="0.25">
      <c r="A10" s="30" t="s">
        <v>142</v>
      </c>
      <c r="B10" s="32" t="s">
        <v>56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146</v>
      </c>
      <c r="B12" s="32" t="s">
        <v>59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9</v>
      </c>
      <c r="B2" s="29" t="s">
        <v>189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145</v>
      </c>
      <c r="B6" s="32" t="s">
        <v>46</v>
      </c>
    </row>
    <row r="7" spans="1:2" ht="20.100000000000001" customHeight="1" x14ac:dyDescent="0.25">
      <c r="A7" s="30" t="s">
        <v>170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135</v>
      </c>
    </row>
    <row r="10" spans="1:2" ht="20.100000000000001" customHeight="1" x14ac:dyDescent="0.25">
      <c r="A10" s="30" t="s">
        <v>142</v>
      </c>
      <c r="B10" s="32" t="s">
        <v>136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143</v>
      </c>
      <c r="B12" s="32" t="s">
        <v>137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8</v>
      </c>
      <c r="B2" s="29" t="s">
        <v>188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139</v>
      </c>
      <c r="B6" s="32" t="s">
        <v>46</v>
      </c>
    </row>
    <row r="7" spans="1:2" ht="20.100000000000001" customHeight="1" x14ac:dyDescent="0.25">
      <c r="A7" s="30" t="s">
        <v>140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131</v>
      </c>
    </row>
    <row r="10" spans="1:2" ht="20.100000000000001" customHeight="1" x14ac:dyDescent="0.25">
      <c r="A10" s="30" t="s">
        <v>142</v>
      </c>
      <c r="B10" s="32" t="s">
        <v>132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143</v>
      </c>
      <c r="B12" s="32" t="s">
        <v>133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7</v>
      </c>
      <c r="B2" s="29" t="s">
        <v>187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139</v>
      </c>
      <c r="B6" s="32" t="s">
        <v>46</v>
      </c>
    </row>
    <row r="7" spans="1:2" ht="20.100000000000001" customHeight="1" x14ac:dyDescent="0.25">
      <c r="A7" s="30" t="s">
        <v>140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141</v>
      </c>
      <c r="B9" s="32" t="s">
        <v>56</v>
      </c>
    </row>
    <row r="10" spans="1:2" ht="20.100000000000001" customHeight="1" x14ac:dyDescent="0.25">
      <c r="A10" s="30" t="s">
        <v>142</v>
      </c>
      <c r="B10" s="32" t="s">
        <v>57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143</v>
      </c>
      <c r="B12" s="32" t="s">
        <v>59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144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6</v>
      </c>
      <c r="B2" s="29" t="s">
        <v>186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139</v>
      </c>
      <c r="B6" s="32" t="s">
        <v>46</v>
      </c>
    </row>
    <row r="7" spans="1:2" ht="20.100000000000001" customHeight="1" x14ac:dyDescent="0.25">
      <c r="A7" s="30" t="s">
        <v>140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136</v>
      </c>
    </row>
    <row r="10" spans="1:2" ht="20.100000000000001" customHeight="1" x14ac:dyDescent="0.25">
      <c r="A10" s="30" t="s">
        <v>128</v>
      </c>
      <c r="B10" s="32" t="s">
        <v>135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138</v>
      </c>
      <c r="B12" s="32" t="s">
        <v>137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5</v>
      </c>
      <c r="B2" s="29" t="s">
        <v>185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139</v>
      </c>
      <c r="B6" s="32" t="s">
        <v>46</v>
      </c>
    </row>
    <row r="7" spans="1:2" ht="20.100000000000001" customHeight="1" x14ac:dyDescent="0.25">
      <c r="A7" s="30" t="s">
        <v>140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132</v>
      </c>
    </row>
    <row r="10" spans="1:2" ht="20.100000000000001" customHeight="1" x14ac:dyDescent="0.25">
      <c r="A10" s="30" t="s">
        <v>128</v>
      </c>
      <c r="B10" s="32" t="s">
        <v>131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138</v>
      </c>
      <c r="B12" s="32" t="s">
        <v>133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4</v>
      </c>
      <c r="B2" s="29" t="s">
        <v>184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125</v>
      </c>
      <c r="B6" s="32" t="s">
        <v>46</v>
      </c>
    </row>
    <row r="7" spans="1:2" ht="20.100000000000001" customHeight="1" x14ac:dyDescent="0.25">
      <c r="A7" s="30" t="s">
        <v>126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57</v>
      </c>
    </row>
    <row r="10" spans="1:2" ht="20.100000000000001" customHeight="1" x14ac:dyDescent="0.25">
      <c r="A10" s="30" t="s">
        <v>128</v>
      </c>
      <c r="B10" s="32" t="s">
        <v>56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138</v>
      </c>
      <c r="B12" s="32" t="s">
        <v>59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3</v>
      </c>
      <c r="B2" s="29" t="s">
        <v>183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125</v>
      </c>
      <c r="B6" s="32" t="s">
        <v>46</v>
      </c>
    </row>
    <row r="7" spans="1:2" ht="20.100000000000001" customHeight="1" x14ac:dyDescent="0.25">
      <c r="A7" s="30" t="s">
        <v>126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135</v>
      </c>
    </row>
    <row r="10" spans="1:2" ht="20.100000000000001" customHeight="1" x14ac:dyDescent="0.25">
      <c r="A10" s="30" t="s">
        <v>128</v>
      </c>
      <c r="B10" s="32" t="s">
        <v>136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129</v>
      </c>
      <c r="B12" s="32" t="s">
        <v>137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2</v>
      </c>
      <c r="B2" s="29" t="s">
        <v>182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125</v>
      </c>
      <c r="B6" s="32" t="s">
        <v>46</v>
      </c>
    </row>
    <row r="7" spans="1:2" ht="20.100000000000001" customHeight="1" x14ac:dyDescent="0.25">
      <c r="A7" s="30" t="s">
        <v>126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131</v>
      </c>
    </row>
    <row r="10" spans="1:2" ht="20.100000000000001" customHeight="1" x14ac:dyDescent="0.25">
      <c r="A10" s="30" t="s">
        <v>128</v>
      </c>
      <c r="B10" s="32" t="s">
        <v>132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129</v>
      </c>
      <c r="B12" s="32" t="s">
        <v>133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134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B19"/>
  <sheetViews>
    <sheetView zoomScale="90" zoomScaleNormal="90" workbookViewId="0">
      <selection activeCell="B17" sqref="B17"/>
    </sheetView>
  </sheetViews>
  <sheetFormatPr defaultRowHeight="12.75" x14ac:dyDescent="0.2"/>
  <cols>
    <col min="1" max="1" width="29.140625" customWidth="1"/>
    <col min="2" max="2" width="79.140625" customWidth="1"/>
  </cols>
  <sheetData>
    <row r="1" spans="1:2" ht="18" x14ac:dyDescent="0.25">
      <c r="A1" s="25" t="s">
        <v>12</v>
      </c>
      <c r="B1" s="26" t="s">
        <v>1</v>
      </c>
    </row>
    <row r="2" spans="1:2" ht="27" customHeight="1" x14ac:dyDescent="0.25">
      <c r="A2" s="28">
        <v>1</v>
      </c>
      <c r="B2" s="29" t="s">
        <v>181</v>
      </c>
    </row>
    <row r="3" spans="1:2" ht="18" x14ac:dyDescent="0.25">
      <c r="A3" s="27" t="s">
        <v>18</v>
      </c>
      <c r="B3" s="26" t="s">
        <v>24</v>
      </c>
    </row>
    <row r="4" spans="1:2" ht="20.100000000000001" customHeight="1" x14ac:dyDescent="0.25">
      <c r="A4" s="30" t="s">
        <v>179</v>
      </c>
      <c r="B4" s="32" t="s">
        <v>25</v>
      </c>
    </row>
    <row r="5" spans="1:2" ht="20.100000000000001" customHeight="1" x14ac:dyDescent="0.25">
      <c r="A5" s="30" t="s">
        <v>180</v>
      </c>
      <c r="B5" s="32" t="s">
        <v>53</v>
      </c>
    </row>
    <row r="6" spans="1:2" ht="20.100000000000001" customHeight="1" x14ac:dyDescent="0.25">
      <c r="A6" s="30" t="s">
        <v>125</v>
      </c>
      <c r="B6" s="32" t="s">
        <v>46</v>
      </c>
    </row>
    <row r="7" spans="1:2" ht="20.100000000000001" customHeight="1" x14ac:dyDescent="0.25">
      <c r="A7" s="30" t="s">
        <v>126</v>
      </c>
      <c r="B7" s="32" t="s">
        <v>46</v>
      </c>
    </row>
    <row r="8" spans="1:2" ht="20.100000000000001" customHeight="1" x14ac:dyDescent="0.25">
      <c r="A8" s="30" t="s">
        <v>54</v>
      </c>
      <c r="B8" s="32" t="s">
        <v>55</v>
      </c>
    </row>
    <row r="9" spans="1:2" ht="20.100000000000001" customHeight="1" x14ac:dyDescent="0.25">
      <c r="A9" s="30" t="s">
        <v>127</v>
      </c>
      <c r="B9" s="32" t="s">
        <v>56</v>
      </c>
    </row>
    <row r="10" spans="1:2" ht="20.100000000000001" customHeight="1" x14ac:dyDescent="0.25">
      <c r="A10" s="30" t="s">
        <v>128</v>
      </c>
      <c r="B10" s="32" t="s">
        <v>57</v>
      </c>
    </row>
    <row r="11" spans="1:2" ht="20.100000000000001" customHeight="1" x14ac:dyDescent="0.25">
      <c r="A11" s="30" t="s">
        <v>58</v>
      </c>
      <c r="B11" s="32" t="s">
        <v>55</v>
      </c>
    </row>
    <row r="12" spans="1:2" ht="20.100000000000001" customHeight="1" x14ac:dyDescent="0.25">
      <c r="A12" s="30" t="s">
        <v>129</v>
      </c>
      <c r="B12" s="32" t="s">
        <v>59</v>
      </c>
    </row>
    <row r="13" spans="1:2" ht="20.100000000000001" customHeight="1" x14ac:dyDescent="0.25">
      <c r="A13" s="30" t="s">
        <v>60</v>
      </c>
      <c r="B13" s="32" t="s">
        <v>61</v>
      </c>
    </row>
    <row r="14" spans="1:2" ht="20.100000000000001" customHeight="1" x14ac:dyDescent="0.25">
      <c r="A14" s="30" t="s">
        <v>169</v>
      </c>
      <c r="B14" s="32" t="s">
        <v>46</v>
      </c>
    </row>
    <row r="15" spans="1:2" ht="20.100000000000001" customHeight="1" x14ac:dyDescent="0.25">
      <c r="A15" s="30" t="s">
        <v>62</v>
      </c>
      <c r="B15" s="32" t="s">
        <v>55</v>
      </c>
    </row>
    <row r="16" spans="1:2" ht="20.100000000000001" customHeight="1" x14ac:dyDescent="0.25">
      <c r="A16" s="30" t="s">
        <v>130</v>
      </c>
      <c r="B16" s="32" t="s">
        <v>46</v>
      </c>
    </row>
    <row r="17" spans="1:2" ht="18" x14ac:dyDescent="0.25">
      <c r="A17" s="30" t="s">
        <v>63</v>
      </c>
      <c r="B17" s="32" t="s">
        <v>64</v>
      </c>
    </row>
    <row r="18" spans="1:2" ht="13.5" thickBot="1" x14ac:dyDescent="0.25"/>
    <row r="19" spans="1:2" ht="63.75" customHeight="1" thickBot="1" x14ac:dyDescent="0.3">
      <c r="B19" s="33" t="s">
        <v>26</v>
      </c>
    </row>
  </sheetData>
  <printOptions horizontalCentered="1" verticalCentered="1"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0787E9557ED848988D80CA6C0F0A69" ma:contentTypeVersion="10" ma:contentTypeDescription="Create a new document." ma:contentTypeScope="" ma:versionID="3f7d711b04b56f1d304c22e8ff480d60">
  <xsd:schema xmlns:xsd="http://www.w3.org/2001/XMLSchema" xmlns:xs="http://www.w3.org/2001/XMLSchema" xmlns:p="http://schemas.microsoft.com/office/2006/metadata/properties" xmlns:ns2="edb46152-a2b6-4b41-82c7-4a9b0d924493" targetNamespace="http://schemas.microsoft.com/office/2006/metadata/properties" ma:root="true" ma:fieldsID="7f9bcf88c1b74300b860367406bc63de" ns2:_="">
    <xsd:import namespace="edb46152-a2b6-4b41-82c7-4a9b0d9244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46152-a2b6-4b41-82c7-4a9b0d9244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580C59F-0CD1-4414-818A-A178184C69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B8E24F-EF2D-40F2-87C8-B63232E1B1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b46152-a2b6-4b41-82c7-4a9b0d924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73CFC2-378F-411A-9C85-3279169A0F3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db46152-a2b6-4b41-82c7-4a9b0d92449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14</vt:i4>
      </vt:variant>
    </vt:vector>
  </HeadingPairs>
  <TitlesOfParts>
    <vt:vector size="66" baseType="lpstr">
      <vt:lpstr>Teams</vt:lpstr>
      <vt:lpstr>36team</vt:lpstr>
      <vt:lpstr>MatchSchedule</vt:lpstr>
      <vt:lpstr>RedTableSchedule</vt:lpstr>
      <vt:lpstr>BlueTableSchedule</vt:lpstr>
      <vt:lpstr>YellowTableSchedule</vt:lpstr>
      <vt:lpstr>RDJudgingA</vt:lpstr>
      <vt:lpstr>RDJudgingB</vt:lpstr>
      <vt:lpstr>RDJudgingC</vt:lpstr>
      <vt:lpstr>PRJudgingA</vt:lpstr>
      <vt:lpstr>PRJudgingB</vt:lpstr>
      <vt:lpstr>PRJudgingC</vt:lpstr>
      <vt:lpstr>CVJudgingA</vt:lpstr>
      <vt:lpstr>CVJudgingB</vt:lpstr>
      <vt:lpstr>CVJudgingC</vt:lpstr>
      <vt:lpstr>TeamSchedule</vt:lpstr>
      <vt:lpstr>36</vt:lpstr>
      <vt:lpstr>35</vt:lpstr>
      <vt:lpstr>34</vt:lpstr>
      <vt:lpstr>33</vt:lpstr>
      <vt:lpstr>32</vt:lpstr>
      <vt:lpstr>31</vt:lpstr>
      <vt:lpstr>30</vt:lpstr>
      <vt:lpstr>29</vt:lpstr>
      <vt:lpstr>28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BlueTableSchedule!Print_Area</vt:lpstr>
      <vt:lpstr>CVJudgingA!Print_Area</vt:lpstr>
      <vt:lpstr>CVJudgingB!Print_Area</vt:lpstr>
      <vt:lpstr>CVJudgingC!Print_Area</vt:lpstr>
      <vt:lpstr>MatchSchedule!Print_Area</vt:lpstr>
      <vt:lpstr>PRJudgingA!Print_Area</vt:lpstr>
      <vt:lpstr>PRJudgingB!Print_Area</vt:lpstr>
      <vt:lpstr>PRJudgingC!Print_Area</vt:lpstr>
      <vt:lpstr>RDJudgingA!Print_Area</vt:lpstr>
      <vt:lpstr>RDJudgingB!Print_Area</vt:lpstr>
      <vt:lpstr>RDJudgingC!Print_Area</vt:lpstr>
      <vt:lpstr>RedTableSchedule!Print_Area</vt:lpstr>
      <vt:lpstr>Teams!Print_Area</vt:lpstr>
      <vt:lpstr>YellowTableSchedule!Print_Area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pz8r62</dc:creator>
  <cp:lastModifiedBy>Bob</cp:lastModifiedBy>
  <cp:lastPrinted>2018-11-29T17:54:10Z</cp:lastPrinted>
  <dcterms:created xsi:type="dcterms:W3CDTF">2003-11-21T18:43:41Z</dcterms:created>
  <dcterms:modified xsi:type="dcterms:W3CDTF">2020-09-16T14:56:17Z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0x0101003C0787E9557ED848988D80CA6C0F0A69</vt:lpwstr>
  </property>
</Properties>
</file>