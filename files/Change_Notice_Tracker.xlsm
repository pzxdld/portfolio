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1775" yWindow="-15" windowWidth="9690" windowHeight="10140" tabRatio="786"/>
  </bookViews>
  <sheets>
    <sheet name="All Open CNs" sheetId="1" r:id="rId1"/>
    <sheet name="2013 PAST DUE" sheetId="1951" r:id="rId2"/>
    <sheet name="2014 PAST DUE" sheetId="1950" r:id="rId3"/>
    <sheet name="Ready for Audit" sheetId="1949" r:id="rId4"/>
    <sheet name="All Rejects" sheetId="1948" r:id="rId5"/>
    <sheet name="Completed" sheetId="3" r:id="rId6"/>
    <sheet name="Cancelled" sheetId="10" r:id="rId7"/>
    <sheet name="OVERDUE NAMES" sheetId="1219" r:id="rId8"/>
    <sheet name="Metrics" sheetId="1260" r:id="rId9"/>
    <sheet name="Revisions" sheetId="2" r:id="rId10"/>
    <sheet name="Template" sheetId="13" state="hidden" r:id="rId11"/>
  </sheets>
  <functionGroups builtInGroupCount="17"/>
  <externalReferences>
    <externalReference r:id="rId12"/>
    <externalReference r:id="rId13"/>
    <externalReference r:id="rId14"/>
  </externalReferences>
  <definedNames>
    <definedName name="_xlnm._FilterDatabase" localSheetId="1" hidden="1">'2013 PAST DUE'!$A$1:$R$1</definedName>
    <definedName name="_xlnm._FilterDatabase" localSheetId="2" hidden="1">'2014 PAST DUE'!$A$1:$R$1</definedName>
    <definedName name="_xlnm._FilterDatabase" localSheetId="0" hidden="1">'All Open CNs'!$A$2:$R$129</definedName>
    <definedName name="_xlnm._FilterDatabase" localSheetId="4" hidden="1">'All Rejects'!$A$1:$R$1</definedName>
    <definedName name="_xlnm._FilterDatabase" localSheetId="6" hidden="1">Cancelled!$A$1:$Q$1</definedName>
    <definedName name="_xlnm._FilterDatabase" localSheetId="5" hidden="1">Completed!$A$1:$R$1</definedName>
    <definedName name="_xlnm._FilterDatabase" localSheetId="7" hidden="1">'OVERDUE NAMES'!$A$1:$R$86</definedName>
    <definedName name="_xlnm._FilterDatabase" localSheetId="3" hidden="1">'Ready for Audit'!$A$1:$R$1</definedName>
    <definedName name="_xlnm._FilterDatabase" localSheetId="10" hidden="1">Template!$A$1:$R$1</definedName>
    <definedName name="aaa" localSheetId="1">#REF!</definedName>
    <definedName name="aaa" localSheetId="2">#REF!</definedName>
    <definedName name="aaa" localSheetId="4">#REF!</definedName>
    <definedName name="aaa" localSheetId="3">#REF!</definedName>
    <definedName name="aaa">#REF!</definedName>
    <definedName name="department">[1]Closed!$H$701</definedName>
    <definedName name="ecn_number1">'[2]CN 1 - Implementation Plan'!$J$1</definedName>
    <definedName name="en_number1">'[3]CN 1 - Implementation Plan'!$M$20</definedName>
    <definedName name="Plant_7" localSheetId="1">#REF!</definedName>
    <definedName name="Plant_7" localSheetId="2">#REF!</definedName>
    <definedName name="Plant_7" localSheetId="4">#REF!</definedName>
    <definedName name="Plant_7" localSheetId="7">#REF!</definedName>
    <definedName name="Plant_7" localSheetId="3">#REF!</definedName>
    <definedName name="Plant_7" localSheetId="10">#REF!</definedName>
    <definedName name="Plant_7">#REF!</definedName>
    <definedName name="_xlnm.Print_Area" localSheetId="1">'2013 PAST DUE'!$A$1:$R$1</definedName>
    <definedName name="_xlnm.Print_Area" localSheetId="2">'2014 PAST DUE'!$A$1:$R$1</definedName>
    <definedName name="_xlnm.Print_Area" localSheetId="0">'All Open CNs'!$B$1:$P$135</definedName>
    <definedName name="_xlnm.Print_Area" localSheetId="4">'All Rejects'!$A$1:$R$1</definedName>
    <definedName name="_xlnm.Print_Area" localSheetId="6">Cancelled!$H$1:$Q$1</definedName>
    <definedName name="_xlnm.Print_Area" localSheetId="5">Completed!$A$1:$Q$1</definedName>
    <definedName name="_xlnm.Print_Area" localSheetId="7">'OVERDUE NAMES'!$B$1:$M$27</definedName>
    <definedName name="_xlnm.Print_Area" localSheetId="3">'Ready for Audit'!$A$1:$R$1</definedName>
    <definedName name="_xlnm.Print_Area" localSheetId="10">Template!$A$1:$R$1</definedName>
    <definedName name="_xlnm.Print_Titles" localSheetId="1">'2013 PAST DUE'!$1:$1</definedName>
    <definedName name="_xlnm.Print_Titles" localSheetId="2">'2014 PAST DUE'!$1:$1</definedName>
    <definedName name="_xlnm.Print_Titles" localSheetId="0">'All Open CNs'!$2:$2</definedName>
    <definedName name="_xlnm.Print_Titles" localSheetId="4">'All Rejects'!$1:$1</definedName>
    <definedName name="_xlnm.Print_Titles" localSheetId="6">Cancelled!$1:$1</definedName>
    <definedName name="_xlnm.Print_Titles" localSheetId="5">Completed!$1:$1</definedName>
    <definedName name="_xlnm.Print_Titles" localSheetId="7">'OVERDUE NAMES'!$1:$1</definedName>
    <definedName name="_xlnm.Print_Titles" localSheetId="3">'Ready for Audit'!$1:$1</definedName>
    <definedName name="_xlnm.Print_Titles" localSheetId="10">Template!$1:$1</definedName>
    <definedName name="Z_0C65D4BC_7217_49B8_BB53_61D69B68C705_.wvu.FilterData" localSheetId="1" hidden="1">'2013 PAST DUE'!$B$1:$O$1</definedName>
    <definedName name="Z_0C65D4BC_7217_49B8_BB53_61D69B68C705_.wvu.FilterData" localSheetId="2" hidden="1">'2014 PAST DUE'!$B$1:$O$1</definedName>
    <definedName name="Z_0C65D4BC_7217_49B8_BB53_61D69B68C705_.wvu.FilterData" localSheetId="0" hidden="1">'All Open CNs'!$B$2:$O$2</definedName>
    <definedName name="Z_0C65D4BC_7217_49B8_BB53_61D69B68C705_.wvu.FilterData" localSheetId="4" hidden="1">'All Rejects'!$B$1:$O$1</definedName>
    <definedName name="Z_0C65D4BC_7217_49B8_BB53_61D69B68C705_.wvu.FilterData" localSheetId="6" hidden="1">Cancelled!$B$1:$O$1</definedName>
    <definedName name="Z_0C65D4BC_7217_49B8_BB53_61D69B68C705_.wvu.FilterData" localSheetId="5" hidden="1">Completed!$B$1:$O$1</definedName>
    <definedName name="Z_0C65D4BC_7217_49B8_BB53_61D69B68C705_.wvu.FilterData" localSheetId="7" hidden="1">'OVERDUE NAMES'!#REF!</definedName>
    <definedName name="Z_0C65D4BC_7217_49B8_BB53_61D69B68C705_.wvu.FilterData" localSheetId="3" hidden="1">'Ready for Audit'!$B$1:$O$1</definedName>
    <definedName name="Z_0C65D4BC_7217_49B8_BB53_61D69B68C705_.wvu.FilterData" localSheetId="10" hidden="1">Template!$B$1:$O$1</definedName>
    <definedName name="Z_3D82101D_81D8_4890_9527_E21BD8A182F8_.wvu.FilterData" localSheetId="1" hidden="1">'2013 PAST DUE'!$B$1:$O$1</definedName>
    <definedName name="Z_3D82101D_81D8_4890_9527_E21BD8A182F8_.wvu.FilterData" localSheetId="2" hidden="1">'2014 PAST DUE'!$B$1:$O$1</definedName>
    <definedName name="Z_3D82101D_81D8_4890_9527_E21BD8A182F8_.wvu.FilterData" localSheetId="0" hidden="1">'All Open CNs'!$B$2:$O$2</definedName>
    <definedName name="Z_3D82101D_81D8_4890_9527_E21BD8A182F8_.wvu.FilterData" localSheetId="4" hidden="1">'All Rejects'!$B$1:$O$1</definedName>
    <definedName name="Z_3D82101D_81D8_4890_9527_E21BD8A182F8_.wvu.FilterData" localSheetId="6" hidden="1">Cancelled!$B$1:$O$1</definedName>
    <definedName name="Z_3D82101D_81D8_4890_9527_E21BD8A182F8_.wvu.FilterData" localSheetId="5" hidden="1">Completed!$B$1:$O$1</definedName>
    <definedName name="Z_3D82101D_81D8_4890_9527_E21BD8A182F8_.wvu.FilterData" localSheetId="7" hidden="1">'OVERDUE NAMES'!#REF!</definedName>
    <definedName name="Z_3D82101D_81D8_4890_9527_E21BD8A182F8_.wvu.FilterData" localSheetId="3" hidden="1">'Ready for Audit'!$B$1:$O$1</definedName>
    <definedName name="Z_3D82101D_81D8_4890_9527_E21BD8A182F8_.wvu.FilterData" localSheetId="10" hidden="1">Template!$B$1:$O$1</definedName>
    <definedName name="Z_5C4CE04F_0B50_463A_9EAA_D39A8C73801D_.wvu.Cols" localSheetId="1" hidden="1">'2013 PAST DUE'!$G:$G</definedName>
    <definedName name="Z_5C4CE04F_0B50_463A_9EAA_D39A8C73801D_.wvu.Cols" localSheetId="2" hidden="1">'2014 PAST DUE'!$G:$G</definedName>
    <definedName name="Z_5C4CE04F_0B50_463A_9EAA_D39A8C73801D_.wvu.Cols" localSheetId="0" hidden="1">'All Open CNs'!$G:$G</definedName>
    <definedName name="Z_5C4CE04F_0B50_463A_9EAA_D39A8C73801D_.wvu.Cols" localSheetId="4" hidden="1">'All Rejects'!$G:$G</definedName>
    <definedName name="Z_5C4CE04F_0B50_463A_9EAA_D39A8C73801D_.wvu.Cols" localSheetId="6" hidden="1">Cancelled!$G:$G</definedName>
    <definedName name="Z_5C4CE04F_0B50_463A_9EAA_D39A8C73801D_.wvu.Cols" localSheetId="5" hidden="1">Completed!$G:$G</definedName>
    <definedName name="Z_5C4CE04F_0B50_463A_9EAA_D39A8C73801D_.wvu.Cols" localSheetId="7" hidden="1">'OVERDUE NAMES'!$G:$G</definedName>
    <definedName name="Z_5C4CE04F_0B50_463A_9EAA_D39A8C73801D_.wvu.Cols" localSheetId="3" hidden="1">'Ready for Audit'!$G:$G</definedName>
    <definedName name="Z_5C4CE04F_0B50_463A_9EAA_D39A8C73801D_.wvu.Cols" localSheetId="10" hidden="1">Template!$G:$G</definedName>
    <definedName name="Z_5C4CE04F_0B50_463A_9EAA_D39A8C73801D_.wvu.FilterData" localSheetId="1" hidden="1">'2013 PAST DUE'!$B$1:$O$1</definedName>
    <definedName name="Z_5C4CE04F_0B50_463A_9EAA_D39A8C73801D_.wvu.FilterData" localSheetId="2" hidden="1">'2014 PAST DUE'!$B$1:$O$1</definedName>
    <definedName name="Z_5C4CE04F_0B50_463A_9EAA_D39A8C73801D_.wvu.FilterData" localSheetId="0" hidden="1">'All Open CNs'!$B$2:$O$2</definedName>
    <definedName name="Z_5C4CE04F_0B50_463A_9EAA_D39A8C73801D_.wvu.FilterData" localSheetId="4" hidden="1">'All Rejects'!$B$1:$O$1</definedName>
    <definedName name="Z_5C4CE04F_0B50_463A_9EAA_D39A8C73801D_.wvu.FilterData" localSheetId="6" hidden="1">Cancelled!$B$1:$O$1</definedName>
    <definedName name="Z_5C4CE04F_0B50_463A_9EAA_D39A8C73801D_.wvu.FilterData" localSheetId="5" hidden="1">Completed!$B$1:$O$1</definedName>
    <definedName name="Z_5C4CE04F_0B50_463A_9EAA_D39A8C73801D_.wvu.FilterData" localSheetId="7" hidden="1">'OVERDUE NAMES'!#REF!</definedName>
    <definedName name="Z_5C4CE04F_0B50_463A_9EAA_D39A8C73801D_.wvu.FilterData" localSheetId="3" hidden="1">'Ready for Audit'!$B$1:$O$1</definedName>
    <definedName name="Z_5C4CE04F_0B50_463A_9EAA_D39A8C73801D_.wvu.FilterData" localSheetId="10" hidden="1">Template!$B$1:$O$1</definedName>
    <definedName name="Z_925B3880_04C7_4A42_8F6F_70C42D07E498_.wvu.Cols" localSheetId="1" hidden="1">'2013 PAST DUE'!$G:$G</definedName>
    <definedName name="Z_925B3880_04C7_4A42_8F6F_70C42D07E498_.wvu.Cols" localSheetId="2" hidden="1">'2014 PAST DUE'!$G:$G</definedName>
    <definedName name="Z_925B3880_04C7_4A42_8F6F_70C42D07E498_.wvu.Cols" localSheetId="0" hidden="1">'All Open CNs'!$G:$G</definedName>
    <definedName name="Z_925B3880_04C7_4A42_8F6F_70C42D07E498_.wvu.Cols" localSheetId="4" hidden="1">'All Rejects'!$G:$G</definedName>
    <definedName name="Z_925B3880_04C7_4A42_8F6F_70C42D07E498_.wvu.Cols" localSheetId="6" hidden="1">Cancelled!$G:$G</definedName>
    <definedName name="Z_925B3880_04C7_4A42_8F6F_70C42D07E498_.wvu.Cols" localSheetId="5" hidden="1">Completed!$G:$G</definedName>
    <definedName name="Z_925B3880_04C7_4A42_8F6F_70C42D07E498_.wvu.Cols" localSheetId="7" hidden="1">'OVERDUE NAMES'!$G:$G</definedName>
    <definedName name="Z_925B3880_04C7_4A42_8F6F_70C42D07E498_.wvu.Cols" localSheetId="3" hidden="1">'Ready for Audit'!$G:$G</definedName>
    <definedName name="Z_925B3880_04C7_4A42_8F6F_70C42D07E498_.wvu.Cols" localSheetId="10" hidden="1">Template!$G:$G</definedName>
    <definedName name="Z_925B3880_04C7_4A42_8F6F_70C42D07E498_.wvu.FilterData" localSheetId="1" hidden="1">'2013 PAST DUE'!#REF!</definedName>
    <definedName name="Z_925B3880_04C7_4A42_8F6F_70C42D07E498_.wvu.FilterData" localSheetId="2" hidden="1">'2014 PAST DUE'!#REF!</definedName>
    <definedName name="Z_925B3880_04C7_4A42_8F6F_70C42D07E498_.wvu.FilterData" localSheetId="0" hidden="1">'All Open CNs'!#REF!</definedName>
    <definedName name="Z_925B3880_04C7_4A42_8F6F_70C42D07E498_.wvu.FilterData" localSheetId="4" hidden="1">'All Rejects'!#REF!</definedName>
    <definedName name="Z_925B3880_04C7_4A42_8F6F_70C42D07E498_.wvu.FilterData" localSheetId="6" hidden="1">Cancelled!#REF!</definedName>
    <definedName name="Z_925B3880_04C7_4A42_8F6F_70C42D07E498_.wvu.FilterData" localSheetId="5" hidden="1">Completed!#REF!</definedName>
    <definedName name="Z_925B3880_04C7_4A42_8F6F_70C42D07E498_.wvu.FilterData" localSheetId="7" hidden="1">'OVERDUE NAMES'!#REF!</definedName>
    <definedName name="Z_925B3880_04C7_4A42_8F6F_70C42D07E498_.wvu.FilterData" localSheetId="3" hidden="1">'Ready for Audit'!#REF!</definedName>
    <definedName name="Z_925B3880_04C7_4A42_8F6F_70C42D07E498_.wvu.FilterData" localSheetId="10" hidden="1">Template!#REF!</definedName>
    <definedName name="Z_D41D7902_74E5_450A_83D5_80696A20C8A0_.wvu.FilterData" localSheetId="1" hidden="1">'2013 PAST DUE'!#REF!</definedName>
    <definedName name="Z_D41D7902_74E5_450A_83D5_80696A20C8A0_.wvu.FilterData" localSheetId="2" hidden="1">'2014 PAST DUE'!#REF!</definedName>
    <definedName name="Z_D41D7902_74E5_450A_83D5_80696A20C8A0_.wvu.FilterData" localSheetId="0" hidden="1">'All Open CNs'!#REF!</definedName>
    <definedName name="Z_D41D7902_74E5_450A_83D5_80696A20C8A0_.wvu.FilterData" localSheetId="4" hidden="1">'All Rejects'!#REF!</definedName>
    <definedName name="Z_D41D7902_74E5_450A_83D5_80696A20C8A0_.wvu.FilterData" localSheetId="6" hidden="1">Cancelled!#REF!</definedName>
    <definedName name="Z_D41D7902_74E5_450A_83D5_80696A20C8A0_.wvu.FilterData" localSheetId="5" hidden="1">Completed!#REF!</definedName>
    <definedName name="Z_D41D7902_74E5_450A_83D5_80696A20C8A0_.wvu.FilterData" localSheetId="7" hidden="1">'OVERDUE NAMES'!#REF!</definedName>
    <definedName name="Z_D41D7902_74E5_450A_83D5_80696A20C8A0_.wvu.FilterData" localSheetId="3" hidden="1">'Ready for Audit'!#REF!</definedName>
    <definedName name="Z_D41D7902_74E5_450A_83D5_80696A20C8A0_.wvu.FilterData" localSheetId="10" hidden="1">Template!#REF!</definedName>
    <definedName name="Z_F84EBB95_3121_4EC1_95B9_4072E892D9A0_.wvu.Cols" localSheetId="1" hidden="1">'2013 PAST DUE'!$G:$G</definedName>
    <definedName name="Z_F84EBB95_3121_4EC1_95B9_4072E892D9A0_.wvu.Cols" localSheetId="2" hidden="1">'2014 PAST DUE'!$G:$G</definedName>
    <definedName name="Z_F84EBB95_3121_4EC1_95B9_4072E892D9A0_.wvu.Cols" localSheetId="0" hidden="1">'All Open CNs'!$G:$G</definedName>
    <definedName name="Z_F84EBB95_3121_4EC1_95B9_4072E892D9A0_.wvu.Cols" localSheetId="4" hidden="1">'All Rejects'!$G:$G</definedName>
    <definedName name="Z_F84EBB95_3121_4EC1_95B9_4072E892D9A0_.wvu.Cols" localSheetId="6" hidden="1">Cancelled!$G:$G</definedName>
    <definedName name="Z_F84EBB95_3121_4EC1_95B9_4072E892D9A0_.wvu.Cols" localSheetId="5" hidden="1">Completed!$G:$G</definedName>
    <definedName name="Z_F84EBB95_3121_4EC1_95B9_4072E892D9A0_.wvu.Cols" localSheetId="7" hidden="1">'OVERDUE NAMES'!$G:$G</definedName>
    <definedName name="Z_F84EBB95_3121_4EC1_95B9_4072E892D9A0_.wvu.Cols" localSheetId="3" hidden="1">'Ready for Audit'!$G:$G</definedName>
    <definedName name="Z_F84EBB95_3121_4EC1_95B9_4072E892D9A0_.wvu.Cols" localSheetId="10" hidden="1">Template!$G:$G</definedName>
    <definedName name="Z_F84EBB95_3121_4EC1_95B9_4072E892D9A0_.wvu.FilterData" localSheetId="1" hidden="1">'2013 PAST DUE'!#REF!</definedName>
    <definedName name="Z_F84EBB95_3121_4EC1_95B9_4072E892D9A0_.wvu.FilterData" localSheetId="2" hidden="1">'2014 PAST DUE'!#REF!</definedName>
    <definedName name="Z_F84EBB95_3121_4EC1_95B9_4072E892D9A0_.wvu.FilterData" localSheetId="0" hidden="1">'All Open CNs'!#REF!</definedName>
    <definedName name="Z_F84EBB95_3121_4EC1_95B9_4072E892D9A0_.wvu.FilterData" localSheetId="4" hidden="1">'All Rejects'!#REF!</definedName>
    <definedName name="Z_F84EBB95_3121_4EC1_95B9_4072E892D9A0_.wvu.FilterData" localSheetId="6" hidden="1">Cancelled!#REF!</definedName>
    <definedName name="Z_F84EBB95_3121_4EC1_95B9_4072E892D9A0_.wvu.FilterData" localSheetId="5" hidden="1">Completed!#REF!</definedName>
    <definedName name="Z_F84EBB95_3121_4EC1_95B9_4072E892D9A0_.wvu.FilterData" localSheetId="7" hidden="1">'OVERDUE NAMES'!#REF!</definedName>
    <definedName name="Z_F84EBB95_3121_4EC1_95B9_4072E892D9A0_.wvu.FilterData" localSheetId="3" hidden="1">'Ready for Audit'!#REF!</definedName>
    <definedName name="Z_F84EBB95_3121_4EC1_95B9_4072E892D9A0_.wvu.FilterData" localSheetId="10" hidden="1">Template!#REF!</definedName>
    <definedName name="Z_FE2E4A04_C0BA_4878_8D17_6D6397170BFE_.wvu.FilterData" localSheetId="1" hidden="1">'2013 PAST DUE'!$B$1:$R$1</definedName>
    <definedName name="Z_FE2E4A04_C0BA_4878_8D17_6D6397170BFE_.wvu.FilterData" localSheetId="2" hidden="1">'2014 PAST DUE'!$B$1:$R$1</definedName>
    <definedName name="Z_FE2E4A04_C0BA_4878_8D17_6D6397170BFE_.wvu.FilterData" localSheetId="0" hidden="1">'All Open CNs'!$B$2:$Q$2</definedName>
    <definedName name="Z_FE2E4A04_C0BA_4878_8D17_6D6397170BFE_.wvu.FilterData" localSheetId="4" hidden="1">'All Rejects'!$B$1:$R$1</definedName>
    <definedName name="Z_FE2E4A04_C0BA_4878_8D17_6D6397170BFE_.wvu.FilterData" localSheetId="6" hidden="1">Cancelled!$B$1:$R$1</definedName>
    <definedName name="Z_FE2E4A04_C0BA_4878_8D17_6D6397170BFE_.wvu.FilterData" localSheetId="5" hidden="1">Completed!$B$1:$R$1</definedName>
    <definedName name="Z_FE2E4A04_C0BA_4878_8D17_6D6397170BFE_.wvu.FilterData" localSheetId="7" hidden="1">'OVERDUE NAMES'!#REF!</definedName>
    <definedName name="Z_FE2E4A04_C0BA_4878_8D17_6D6397170BFE_.wvu.FilterData" localSheetId="3" hidden="1">'Ready for Audit'!$B$1:$R$1</definedName>
    <definedName name="Z_FE2E4A04_C0BA_4878_8D17_6D6397170BFE_.wvu.FilterData" localSheetId="10" hidden="1">Template!$B$1:$R$1</definedName>
  </definedNames>
  <calcPr calcId="145621"/>
  <customWorkbookViews>
    <customWorkbookView name="gz7k5t - Personal View" guid="{0C65D4BC-7217-49B8-BB53-61D69B68C705}" mergeInterval="0" personalView="1" maximized="1" windowWidth="1020" windowHeight="602" tabRatio="786" activeSheetId="3"/>
    <customWorkbookView name="Seth Aaron Hansen - Personal View" guid="{D41D7902-74E5-450A-83D5-80696A20C8A0}" mergeInterval="0" personalView="1" maximized="1" windowWidth="1020" windowHeight="579" tabRatio="786" activeSheetId="6"/>
    <customWorkbookView name="Terry Arion, Jr - Personal View" guid="{F84EBB95-3121-4EC1-95B9-4072E892D9A0}" mergeInterval="0" personalView="1" maximized="1" windowWidth="1020" windowHeight="579" tabRatio="786" activeSheetId="1"/>
    <customWorkbookView name="cz5zn6 - Personal View" guid="{925B3880-04C7-4A42-8F6F-70C42D07E498}" mergeInterval="0" personalView="1" maximized="1" windowWidth="1020" windowHeight="579" tabRatio="786" activeSheetId="6"/>
    <customWorkbookView name="zzv2j0 - Personal View" guid="{FE2E4A04-C0BA-4878-8D17-6D6397170BFE}" mergeInterval="0" personalView="1" maximized="1" windowWidth="1020" windowHeight="581" tabRatio="786" activeSheetId="3"/>
    <customWorkbookView name="qzlq7l - Personal View" guid="{3D82101D-81D8-4890-9527-E21BD8A182F8}" mergeInterval="0" personalView="1" maximized="1" windowWidth="1148" windowHeight="675" tabRatio="786" activeSheetId="1"/>
    <customWorkbookView name="qzkf9f - Personal View" guid="{5C4CE04F-0B50-463A-9EAA-D39A8C73801D}" mergeInterval="0" personalView="1" maximized="1" windowWidth="1276" windowHeight="637" tabRatio="786" activeSheetId="2"/>
  </customWorkbookViews>
</workbook>
</file>

<file path=xl/calcChain.xml><?xml version="1.0" encoding="utf-8"?>
<calcChain xmlns="http://schemas.openxmlformats.org/spreadsheetml/2006/main">
  <c r="I61" i="1950" l="1"/>
  <c r="I60" i="1950"/>
  <c r="I59" i="1950"/>
  <c r="I33" i="1949"/>
  <c r="I58" i="1950"/>
  <c r="I32" i="1949"/>
  <c r="I57" i="1950"/>
  <c r="I56" i="1950"/>
  <c r="I31" i="1949"/>
  <c r="I55" i="1950"/>
  <c r="I54" i="1950"/>
  <c r="I53" i="1950"/>
  <c r="I52" i="1950"/>
  <c r="I51" i="1950"/>
  <c r="I50" i="1950"/>
  <c r="I49" i="1950"/>
  <c r="I48" i="1950"/>
  <c r="I30" i="1949"/>
  <c r="I47" i="1950"/>
  <c r="I46" i="1950"/>
  <c r="I45" i="1950"/>
  <c r="I44" i="1950"/>
  <c r="I43" i="1950"/>
  <c r="I42" i="1950"/>
  <c r="I41" i="1950"/>
  <c r="I40" i="1950"/>
  <c r="I39" i="1950"/>
  <c r="I38" i="1950"/>
  <c r="I37" i="1950"/>
  <c r="I36" i="1950"/>
  <c r="I35" i="1950"/>
  <c r="I29" i="1949"/>
  <c r="I34" i="1950"/>
  <c r="I33" i="1950"/>
  <c r="I32" i="1950"/>
  <c r="I31" i="1950"/>
  <c r="I28" i="1949"/>
  <c r="I30" i="1950"/>
  <c r="I29" i="1950"/>
  <c r="I27" i="1949"/>
  <c r="I28" i="1950"/>
  <c r="I27" i="1950"/>
  <c r="I26" i="1950"/>
  <c r="I25" i="1950"/>
  <c r="I24" i="1950"/>
  <c r="I23" i="1950"/>
  <c r="I22" i="1950"/>
  <c r="I26" i="1949"/>
  <c r="I21" i="1950"/>
  <c r="I20" i="1950"/>
  <c r="I19" i="1950"/>
  <c r="I18" i="1950"/>
  <c r="I25" i="1949"/>
  <c r="I17" i="1950"/>
  <c r="I24" i="1949"/>
  <c r="I16" i="1950"/>
  <c r="I23" i="1949"/>
  <c r="I15" i="1950"/>
  <c r="I22" i="1949"/>
  <c r="I14" i="1950"/>
  <c r="I21" i="1949"/>
  <c r="I13" i="1950"/>
  <c r="I12" i="1950"/>
  <c r="I11" i="1950"/>
  <c r="I20" i="1949"/>
  <c r="I10" i="1950"/>
  <c r="I29" i="1951"/>
  <c r="I9" i="1950"/>
  <c r="I19" i="1949"/>
  <c r="I28" i="1951"/>
  <c r="I27" i="1951"/>
  <c r="I18" i="1949"/>
  <c r="I26" i="1951"/>
  <c r="I17" i="1949"/>
  <c r="I8" i="1950"/>
  <c r="I16" i="1949"/>
  <c r="I25" i="1951"/>
  <c r="I24" i="1951"/>
  <c r="I15" i="1949"/>
  <c r="I23" i="1951"/>
  <c r="I14" i="1949"/>
  <c r="I22" i="1951"/>
  <c r="I21" i="1951"/>
  <c r="I13" i="1949"/>
  <c r="I20" i="1951"/>
  <c r="I19" i="1951"/>
  <c r="I18" i="1951"/>
  <c r="I12" i="1949"/>
  <c r="I17" i="1951"/>
  <c r="I16" i="1951"/>
  <c r="I15" i="1951"/>
  <c r="I11" i="1949"/>
  <c r="I7" i="1950"/>
  <c r="I10" i="1949"/>
  <c r="I6" i="1950"/>
  <c r="I5" i="1950"/>
  <c r="I14" i="1951"/>
  <c r="I9" i="1949"/>
  <c r="I13" i="1951"/>
  <c r="I8" i="1949"/>
  <c r="I12" i="1951"/>
  <c r="I11" i="1951"/>
  <c r="I7" i="1949"/>
  <c r="I10" i="1951"/>
  <c r="I6" i="1949"/>
  <c r="I9" i="1951"/>
  <c r="I5" i="1949"/>
  <c r="I4" i="1950"/>
  <c r="I4" i="1949"/>
  <c r="I8" i="1951"/>
  <c r="I7" i="1951"/>
  <c r="I6" i="1951"/>
  <c r="I5" i="1951"/>
  <c r="I3" i="1950"/>
  <c r="I3" i="1949"/>
  <c r="I4" i="1951"/>
  <c r="I3" i="1951"/>
  <c r="I2" i="1951"/>
  <c r="I2" i="1950"/>
  <c r="I2" i="1949"/>
  <c r="CQ6" i="1260" l="1"/>
  <c r="I27" i="1" l="1"/>
  <c r="I26" i="1"/>
  <c r="CP6" i="1260" l="1"/>
  <c r="I25" i="1" l="1"/>
  <c r="I24" i="1" l="1"/>
  <c r="I23" i="1" l="1"/>
  <c r="CO6" i="1260" l="1"/>
  <c r="I22" i="1" l="1"/>
  <c r="CN6" i="1260" l="1"/>
  <c r="I21" i="1"/>
  <c r="I20" i="1"/>
  <c r="CM6" i="1260" l="1"/>
  <c r="I19" i="1"/>
  <c r="I18" i="1"/>
  <c r="I17" i="1"/>
  <c r="CL6" i="1260" l="1"/>
  <c r="I16" i="1"/>
  <c r="CK6" i="1260" l="1"/>
  <c r="I15" i="1"/>
  <c r="CJ6" i="1260" l="1"/>
  <c r="CI6" i="1260" l="1"/>
  <c r="I14" i="1"/>
  <c r="I13" i="1"/>
  <c r="I12" i="1"/>
  <c r="I11" i="1"/>
  <c r="I10" i="1"/>
  <c r="I6" i="1"/>
  <c r="I135" i="1"/>
  <c r="I134" i="1"/>
  <c r="I133" i="1"/>
  <c r="I132" i="1"/>
  <c r="I131" i="1"/>
  <c r="I130" i="1"/>
  <c r="I129" i="1"/>
  <c r="I3" i="1"/>
  <c r="I128" i="1"/>
  <c r="I127" i="1"/>
  <c r="CH6" i="1260" l="1"/>
  <c r="I9" i="1" l="1"/>
  <c r="I8" i="1"/>
  <c r="I7" i="1"/>
  <c r="I5" i="1"/>
  <c r="I4" i="1"/>
  <c r="CG6" i="1260" l="1"/>
  <c r="I126" i="1" l="1"/>
  <c r="CF6" i="1260" l="1"/>
  <c r="I125" i="1" l="1"/>
  <c r="CE6" i="1260" l="1"/>
  <c r="I124" i="1"/>
  <c r="I123" i="1"/>
  <c r="I122" i="1" l="1"/>
  <c r="I121" i="1"/>
  <c r="I120" i="1"/>
  <c r="CD6" i="1260" l="1"/>
  <c r="I119" i="1" l="1"/>
  <c r="CC6" i="1260" l="1"/>
  <c r="I118" i="1"/>
  <c r="I117" i="1" l="1"/>
  <c r="I116" i="1"/>
  <c r="CB6" i="1260" l="1"/>
  <c r="I115" i="1"/>
  <c r="CA6" i="1260" l="1"/>
  <c r="I114" i="1"/>
  <c r="BZ6" i="1260" l="1"/>
  <c r="I113" i="1" l="1"/>
  <c r="I112" i="1"/>
  <c r="I111" i="1"/>
  <c r="BY6" i="1260" l="1"/>
  <c r="I110" i="1"/>
  <c r="I109" i="1" l="1"/>
  <c r="BX6" i="1260" l="1"/>
  <c r="I107" i="1" l="1"/>
  <c r="I108" i="1"/>
  <c r="I106" i="1" l="1"/>
  <c r="BW6" i="1260" l="1"/>
  <c r="I105" i="1"/>
  <c r="I104" i="1" l="1"/>
  <c r="I103" i="1"/>
  <c r="BV6" i="1260" l="1"/>
  <c r="I102" i="1" l="1"/>
  <c r="I101" i="1"/>
  <c r="I100" i="1"/>
  <c r="BU6" i="1260" l="1"/>
  <c r="I99" i="1" l="1"/>
  <c r="I98" i="1"/>
  <c r="I97" i="1"/>
  <c r="I96" i="1"/>
  <c r="BT6" i="1260" l="1"/>
  <c r="I95" i="1" l="1"/>
  <c r="I94" i="1"/>
  <c r="BS6" i="1260" l="1"/>
  <c r="I93" i="1"/>
  <c r="I92" i="1" l="1"/>
  <c r="I91" i="1"/>
  <c r="BR6" i="1260" l="1"/>
  <c r="BQ6" i="1260" l="1"/>
  <c r="I90" i="1" l="1"/>
  <c r="BP6" i="1260" l="1"/>
  <c r="I89" i="1" l="1"/>
  <c r="BO6" i="1260" l="1"/>
  <c r="I88" i="1" l="1"/>
  <c r="I87" i="1"/>
  <c r="I86" i="1"/>
  <c r="BN6" i="1260" l="1"/>
  <c r="BM6" i="1260" l="1"/>
  <c r="I85" i="1"/>
  <c r="I84" i="1" l="1"/>
  <c r="I83" i="1" l="1"/>
  <c r="BL6" i="1260" l="1"/>
  <c r="I82" i="1"/>
  <c r="I81" i="1"/>
  <c r="BK6" i="1260" l="1"/>
  <c r="I80" i="1"/>
  <c r="BJ6" i="1260" l="1"/>
  <c r="I79" i="1"/>
  <c r="BI6" i="1260" l="1"/>
  <c r="I78" i="1"/>
  <c r="I77" i="1"/>
  <c r="BH6" i="1260" l="1"/>
  <c r="I76" i="1"/>
  <c r="BG6" i="1260" l="1"/>
  <c r="BF6" i="1260" l="1"/>
  <c r="BE6" i="1260" l="1"/>
  <c r="I75" i="1"/>
  <c r="I74" i="1"/>
  <c r="I73" i="1" l="1"/>
  <c r="I72" i="1"/>
  <c r="BD6" i="1260" l="1"/>
  <c r="BC6" i="1260" l="1"/>
  <c r="I71" i="1"/>
  <c r="I70" i="1" l="1"/>
  <c r="I69" i="1"/>
  <c r="BB6" i="1260" l="1"/>
  <c r="I68" i="1" l="1"/>
  <c r="I67" i="1" l="1"/>
  <c r="I66" i="1"/>
  <c r="BA6" i="1260" l="1"/>
  <c r="I65" i="1"/>
  <c r="I64" i="1"/>
  <c r="AZ6" i="1260" l="1"/>
  <c r="I62" i="1" l="1"/>
  <c r="I63" i="1"/>
  <c r="AY6" i="1260" l="1"/>
  <c r="AX6" i="1260" l="1"/>
  <c r="I61" i="1" l="1"/>
  <c r="I60" i="1"/>
  <c r="AW6" i="1260" l="1"/>
  <c r="AV6" i="1260" l="1"/>
  <c r="I59" i="1" l="1"/>
  <c r="AU6" i="1260" l="1"/>
  <c r="I58" i="1"/>
  <c r="I57" i="1" l="1"/>
  <c r="I56" i="1"/>
  <c r="AT6" i="1260" l="1"/>
  <c r="AS6" i="1260" l="1"/>
  <c r="I55" i="1" l="1"/>
  <c r="AR6" i="1260" l="1"/>
  <c r="AA6" i="1260" l="1"/>
  <c r="AB6" i="1260"/>
  <c r="AC6" i="1260"/>
  <c r="AD6" i="1260"/>
  <c r="AE6" i="1260"/>
  <c r="AF6" i="1260"/>
  <c r="AG6" i="1260"/>
  <c r="AH6" i="1260"/>
  <c r="AI6" i="1260"/>
  <c r="AJ6" i="1260"/>
  <c r="AK6" i="1260"/>
  <c r="AL6" i="1260"/>
  <c r="AM6" i="1260"/>
  <c r="AN6" i="1260"/>
  <c r="AO6" i="1260"/>
  <c r="AP6" i="1260"/>
  <c r="AQ6" i="1260"/>
  <c r="Z6" i="1260"/>
  <c r="Y6" i="1260"/>
  <c r="X6" i="1260"/>
  <c r="W6" i="1260"/>
  <c r="V6" i="1260"/>
  <c r="U6" i="1260"/>
  <c r="T6" i="1260"/>
  <c r="S6" i="1260"/>
  <c r="R6" i="1260"/>
  <c r="Q6" i="1260"/>
  <c r="P6" i="1260"/>
  <c r="O6" i="1260"/>
  <c r="N6" i="1260"/>
  <c r="M6" i="1260"/>
  <c r="L6" i="1260"/>
  <c r="K6" i="1260"/>
  <c r="J6" i="1260"/>
  <c r="I6" i="1260"/>
  <c r="H6" i="1260"/>
  <c r="G6" i="1260"/>
  <c r="F6" i="1260"/>
  <c r="E6" i="1260"/>
  <c r="D6" i="1260"/>
  <c r="C6" i="1260"/>
  <c r="B6" i="1260"/>
  <c r="I22" i="10"/>
  <c r="I21" i="10"/>
  <c r="I20" i="10"/>
  <c r="I19" i="10"/>
  <c r="I18" i="10"/>
  <c r="I17" i="10"/>
  <c r="I16" i="10"/>
  <c r="I15" i="10"/>
  <c r="I14" i="10"/>
  <c r="I13" i="10"/>
  <c r="I12" i="10"/>
  <c r="I11" i="10"/>
  <c r="I10" i="10"/>
  <c r="I9" i="10"/>
  <c r="I8" i="10"/>
  <c r="I7" i="10"/>
  <c r="I6" i="10"/>
  <c r="I5" i="10"/>
  <c r="I4" i="10"/>
  <c r="I3" i="10"/>
  <c r="I2" i="10"/>
  <c r="I139" i="3"/>
  <c r="I138" i="3"/>
  <c r="I137" i="3"/>
  <c r="I136" i="3"/>
  <c r="I135" i="3"/>
  <c r="I134" i="3"/>
  <c r="I133" i="3"/>
  <c r="I132" i="3"/>
  <c r="I131" i="3"/>
  <c r="I130" i="3"/>
  <c r="I129" i="3"/>
  <c r="I128" i="3"/>
  <c r="I127" i="3"/>
  <c r="I126" i="3"/>
  <c r="I125" i="3"/>
  <c r="I124" i="3"/>
  <c r="I123" i="3"/>
  <c r="I121" i="3"/>
  <c r="I120" i="3"/>
  <c r="I119" i="3"/>
  <c r="I122" i="3"/>
  <c r="I118" i="3"/>
  <c r="I117" i="3"/>
  <c r="I116" i="3"/>
  <c r="I115" i="3"/>
  <c r="I114" i="3"/>
  <c r="I113" i="3"/>
  <c r="I112" i="3"/>
  <c r="I111" i="3"/>
  <c r="I110" i="3"/>
  <c r="I109" i="3"/>
  <c r="I108" i="3"/>
  <c r="I107" i="3"/>
  <c r="I106" i="3"/>
  <c r="I105" i="3"/>
  <c r="I104" i="3"/>
  <c r="I99" i="3"/>
  <c r="I103" i="3"/>
  <c r="I102" i="3"/>
  <c r="I98" i="3"/>
  <c r="I97" i="3"/>
  <c r="I101" i="3"/>
  <c r="I96" i="3"/>
  <c r="I95" i="3"/>
  <c r="I94" i="3"/>
  <c r="I100" i="3"/>
  <c r="I93" i="3"/>
  <c r="I91" i="3"/>
  <c r="I92"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60" i="3"/>
  <c r="I59" i="3"/>
  <c r="I58" i="3"/>
  <c r="I57" i="3"/>
  <c r="I56" i="3"/>
  <c r="I55" i="3"/>
  <c r="I54" i="3"/>
  <c r="I53" i="3"/>
  <c r="I52" i="3"/>
  <c r="I51" i="3"/>
  <c r="I50" i="3"/>
  <c r="I49" i="3"/>
  <c r="I48" i="3"/>
  <c r="I47" i="3"/>
  <c r="I46" i="3"/>
  <c r="I45" i="3"/>
  <c r="I44" i="3"/>
  <c r="I43" i="3"/>
  <c r="I42" i="3"/>
  <c r="I41" i="3"/>
  <c r="I40" i="3"/>
  <c r="I39" i="3"/>
  <c r="I38" i="3"/>
  <c r="I37" i="3"/>
  <c r="I36" i="3"/>
  <c r="I35" i="3"/>
  <c r="I34" i="3"/>
  <c r="I33" i="3"/>
  <c r="I32" i="3"/>
  <c r="I31" i="3"/>
  <c r="I30" i="3"/>
  <c r="I29" i="3"/>
  <c r="I28" i="3"/>
  <c r="I27" i="3"/>
  <c r="I26" i="3"/>
  <c r="I25" i="3"/>
  <c r="I24" i="3"/>
  <c r="I23" i="3"/>
  <c r="I22" i="3"/>
  <c r="I21" i="3"/>
  <c r="I20" i="3"/>
  <c r="I19" i="3"/>
  <c r="I18" i="3"/>
  <c r="I17" i="3"/>
  <c r="I16" i="3"/>
  <c r="I15" i="3"/>
  <c r="I14" i="3"/>
  <c r="I13" i="3"/>
  <c r="I12" i="3"/>
  <c r="I11" i="3"/>
  <c r="I10" i="3"/>
  <c r="I9" i="3"/>
  <c r="I8" i="3"/>
  <c r="I7" i="3"/>
  <c r="I6" i="3"/>
  <c r="I5" i="3"/>
  <c r="I4" i="3"/>
  <c r="I3" i="3"/>
  <c r="I2" i="3"/>
  <c r="I54" i="1"/>
  <c r="I53" i="1"/>
  <c r="I52" i="1"/>
  <c r="I51" i="1"/>
  <c r="I50" i="1"/>
  <c r="I49" i="1"/>
  <c r="I48" i="1"/>
  <c r="I47" i="1"/>
  <c r="I46" i="1"/>
  <c r="I45" i="1"/>
  <c r="I44" i="1"/>
  <c r="I43" i="1"/>
  <c r="I42" i="1"/>
  <c r="I41" i="1"/>
  <c r="I40" i="1"/>
  <c r="I39" i="1"/>
  <c r="I38" i="1"/>
  <c r="I37" i="1"/>
  <c r="I36" i="1"/>
  <c r="I35" i="1"/>
  <c r="I34" i="1"/>
  <c r="I33" i="1"/>
  <c r="I32" i="1"/>
  <c r="I31" i="1"/>
  <c r="I30" i="1"/>
  <c r="I29" i="1"/>
  <c r="I28" i="1"/>
  <c r="M25" i="1219" l="1"/>
  <c r="K25" i="1219"/>
  <c r="I25" i="1219"/>
  <c r="G25" i="1219"/>
  <c r="E25" i="1219"/>
  <c r="C25" i="1219"/>
</calcChain>
</file>

<file path=xl/comments1.xml><?xml version="1.0" encoding="utf-8"?>
<comments xmlns="http://schemas.openxmlformats.org/spreadsheetml/2006/main">
  <authors>
    <author>pz8r62</author>
  </authors>
  <commentList>
    <comment ref="J2"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IEs  have completed all required tasks on the checklist but did not use completion dates
- "N/A" - means that the IE group had no required tasks on the checklist
- A date means that the IEs have  completed all required tasks on the checklist and used completion dates</t>
        </r>
      </text>
    </comment>
    <comment ref="K2"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MEs have  completed all required tasks on the checklist but did not use completion dates
- "N/A" - means that the ME group had no required tasks on the checklist
- A date means that the MEs have completed all required tasks on the checklist and used completion dates</t>
        </r>
      </text>
    </comment>
    <comment ref="L2"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PC&amp;L group has completed all required tasks on the checklist but did not use completion dates
- "N/A" - means that the PC&amp;L group had no required tasks on the checklist
- A date means that the PC&amp;L group has completed all required tasks on the checklist and used completion dates</t>
        </r>
        <r>
          <rPr>
            <sz val="12"/>
            <color indexed="81"/>
            <rFont val="Tahoma"/>
            <family val="2"/>
          </rPr>
          <t xml:space="preserve">
</t>
        </r>
      </text>
    </comment>
    <comment ref="M2"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Met Lab has completed all required tasks on the checklist but did not use completion dates
- "N/A" - means that the Met Lab had no required tasks on the checklist
- A date means that the Met Lab has completed all required tasks on the checklist and used completion dates</t>
        </r>
        <r>
          <rPr>
            <sz val="12"/>
            <color indexed="81"/>
            <rFont val="Tahoma"/>
            <family val="2"/>
          </rPr>
          <t xml:space="preserve">
</t>
        </r>
      </text>
    </comment>
    <comment ref="N2"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QA group has completed all required tasks on the checklist but did not use completion dates
- "N/A" - means that the QA group had no required tasks on the checklist
- A date means that the QA group has completed all required tasks on the checklist and used completion dates</t>
        </r>
        <r>
          <rPr>
            <sz val="12"/>
            <color indexed="81"/>
            <rFont val="Tahoma"/>
            <family val="2"/>
          </rPr>
          <t xml:space="preserve">
</t>
        </r>
      </text>
    </comment>
    <comment ref="O2"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Operations group has completed all required tasks on the checklist but did not use completion dates
- "N/A" - means that the Operations group had no required tasks on the checklist
- A date means that the Operations group has completed all required tasks on the checklist and used completion dates</t>
        </r>
        <r>
          <rPr>
            <sz val="12"/>
            <color indexed="81"/>
            <rFont val="Tahoma"/>
            <family val="2"/>
          </rPr>
          <t xml:space="preserve">
</t>
        </r>
      </text>
    </comment>
    <comment ref="P2" authorId="0">
      <text>
        <r>
          <rPr>
            <b/>
            <sz val="12"/>
            <color indexed="81"/>
            <rFont val="Tahoma"/>
            <family val="2"/>
          </rPr>
          <t xml:space="preserve">KEY:
- Enter an "X" in this column if the change is Ready for Audit (ready for the ARA to audit the change). When running the "Make Summary Tabs" macro, these items will be copied to the "Ready for Audit" tab.
- Enter an "R" in this column if the change is Rejected (the ARA had a problem when auditing the change). When running the "Make Summary Tabs" macro, these items will be copied to the "All Rejects" tab.
- Enter "Cancel" in this column if the change is not going to be implemented. When running the "Make Summary Tabs" macro, these items will be MOVED to the "Cancelled" tab.
- Enter the completion date in this column if the ARA audited the change and passed it. When running the "Make Summary Tabs" macro, these items will be MOVED to the "Completed" tab.
</t>
        </r>
        <r>
          <rPr>
            <sz val="12"/>
            <color indexed="81"/>
            <rFont val="Tahoma"/>
            <family val="2"/>
          </rPr>
          <t xml:space="preserve">
</t>
        </r>
      </text>
    </comment>
  </commentList>
</comments>
</file>

<file path=xl/comments2.xml><?xml version="1.0" encoding="utf-8"?>
<comments xmlns="http://schemas.openxmlformats.org/spreadsheetml/2006/main">
  <authors>
    <author>pz8r62</author>
  </authors>
  <commentList>
    <comment ref="J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IEs  have completed all required tasks on the checklist but did not use completion dates
- "N/A" - means that the IE group had no required tasks on the checklist
- A date means that the IEs have  completed all required tasks on the checklist and used completion dates</t>
        </r>
      </text>
    </comment>
    <comment ref="K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MEs have  completed all required tasks on the checklist but did not use completion dates
- "N/A" - means that the ME group had no required tasks on the checklist
- A date means that the MEs have completed all required tasks on the checklist and used completion dates</t>
        </r>
      </text>
    </comment>
    <comment ref="L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PC&amp;L group has completed all required tasks on the checklist but did not use completion dates
- "N/A" - means that the PC&amp;L group had no required tasks on the checklist
- A date means that the PC&amp;L group has completed all required tasks on the checklist and used completion dates</t>
        </r>
        <r>
          <rPr>
            <sz val="12"/>
            <color indexed="81"/>
            <rFont val="Tahoma"/>
            <family val="2"/>
          </rPr>
          <t xml:space="preserve">
</t>
        </r>
      </text>
    </comment>
    <comment ref="M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Met Lab has completed all required tasks on the checklist but did not use completion dates
- "N/A" - means that the Met Lab had no required tasks on the checklist
- A date means that the Met Lab has completed all required tasks on the checklist and used completion dates</t>
        </r>
        <r>
          <rPr>
            <sz val="12"/>
            <color indexed="81"/>
            <rFont val="Tahoma"/>
            <family val="2"/>
          </rPr>
          <t xml:space="preserve">
</t>
        </r>
      </text>
    </comment>
    <comment ref="N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QA group has completed all required tasks on the checklist but did not use completion dates
- "N/A" - means that the QA group had no required tasks on the checklist
- A date means that the QA group has completed all required tasks on the checklist and used completion dates</t>
        </r>
        <r>
          <rPr>
            <sz val="12"/>
            <color indexed="81"/>
            <rFont val="Tahoma"/>
            <family val="2"/>
          </rPr>
          <t xml:space="preserve">
</t>
        </r>
      </text>
    </comment>
    <comment ref="O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Operations group has completed all required tasks on the checklist but did not use completion dates
- "N/A" - means that the Operations group had no required tasks on the checklist
- A date means that the Operations group has completed all required tasks on the checklist and used completion dates</t>
        </r>
        <r>
          <rPr>
            <sz val="12"/>
            <color indexed="81"/>
            <rFont val="Tahoma"/>
            <family val="2"/>
          </rPr>
          <t xml:space="preserve">
</t>
        </r>
      </text>
    </comment>
    <comment ref="P1" authorId="0">
      <text>
        <r>
          <rPr>
            <b/>
            <sz val="12"/>
            <color indexed="81"/>
            <rFont val="Tahoma"/>
            <family val="2"/>
          </rPr>
          <t xml:space="preserve">KEY:
- Enter an "X" in this column if the change is Ready for Audit (ready for the ARA to audit the change). When running the "Make Summary Tabs" macro, these items will be copied to the "Ready for Audit" tab.
- Enter an "R" in this column if the change is Rejected (the ARA had a problem when auditing the change). When running the "Make Summary Tabs" macro, these items will be copied to the "All Rejects" tab.
- Enter "Cancel" in this column if the change is not going to be implemented. When running the "Make Summary Tabs" macro, these items will be MOVED to the "Cancelled" tab.
- Enter the completion date in this column if the ARA audited the change and passed it. When running the "Make Summary Tabs" macro, these items will be MOVED to the "Completed" tab.
</t>
        </r>
        <r>
          <rPr>
            <sz val="12"/>
            <color indexed="81"/>
            <rFont val="Tahoma"/>
            <family val="2"/>
          </rPr>
          <t xml:space="preserve">
</t>
        </r>
      </text>
    </comment>
  </commentList>
</comments>
</file>

<file path=xl/comments3.xml><?xml version="1.0" encoding="utf-8"?>
<comments xmlns="http://schemas.openxmlformats.org/spreadsheetml/2006/main">
  <authors>
    <author>pz8r62</author>
  </authors>
  <commentList>
    <comment ref="J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IEs  have completed all required tasks on the checklist but did not use completion dates
- "N/A" - means that the IE group had no required tasks on the checklist
- A date means that the IEs have  completed all required tasks on the checklist and used completion dates</t>
        </r>
      </text>
    </comment>
    <comment ref="K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MEs have  completed all required tasks on the checklist but did not use completion dates
- "N/A" - means that the ME group had no required tasks on the checklist
- A date means that the MEs have completed all required tasks on the checklist and used completion dates</t>
        </r>
      </text>
    </comment>
    <comment ref="L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PC&amp;L group has completed all required tasks on the checklist but did not use completion dates
- "N/A" - means that the PC&amp;L group had no required tasks on the checklist
- A date means that the PC&amp;L group has completed all required tasks on the checklist and used completion dates</t>
        </r>
        <r>
          <rPr>
            <sz val="12"/>
            <color indexed="81"/>
            <rFont val="Tahoma"/>
            <family val="2"/>
          </rPr>
          <t xml:space="preserve">
</t>
        </r>
      </text>
    </comment>
    <comment ref="M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Met Lab has completed all required tasks on the checklist but did not use completion dates
- "N/A" - means that the Met Lab had no required tasks on the checklist
- A date means that the Met Lab has completed all required tasks on the checklist and used completion dates</t>
        </r>
        <r>
          <rPr>
            <sz val="12"/>
            <color indexed="81"/>
            <rFont val="Tahoma"/>
            <family val="2"/>
          </rPr>
          <t xml:space="preserve">
</t>
        </r>
      </text>
    </comment>
    <comment ref="N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QA group has completed all required tasks on the checklist but did not use completion dates
- "N/A" - means that the QA group had no required tasks on the checklist
- A date means that the QA group has completed all required tasks on the checklist and used completion dates</t>
        </r>
        <r>
          <rPr>
            <sz val="12"/>
            <color indexed="81"/>
            <rFont val="Tahoma"/>
            <family val="2"/>
          </rPr>
          <t xml:space="preserve">
</t>
        </r>
      </text>
    </comment>
    <comment ref="O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Operations group has completed all required tasks on the checklist but did not use completion dates
- "N/A" - means that the Operations group had no required tasks on the checklist
- A date means that the Operations group has completed all required tasks on the checklist and used completion dates</t>
        </r>
        <r>
          <rPr>
            <sz val="12"/>
            <color indexed="81"/>
            <rFont val="Tahoma"/>
            <family val="2"/>
          </rPr>
          <t xml:space="preserve">
</t>
        </r>
      </text>
    </comment>
    <comment ref="P1" authorId="0">
      <text>
        <r>
          <rPr>
            <b/>
            <sz val="12"/>
            <color indexed="81"/>
            <rFont val="Tahoma"/>
            <family val="2"/>
          </rPr>
          <t xml:space="preserve">KEY:
- Enter an "X" in this column if the change is Ready for Audit (ready for the ARA to audit the change). When running the "Make Summary Tabs" macro, these items will be copied to the "Ready for Audit" tab.
- Enter an "R" in this column if the change is Rejected (the ARA had a problem when auditing the change). When running the "Make Summary Tabs" macro, these items will be copied to the "All Rejects" tab.
- Enter "Cancel" in this column if the change is not going to be implemented. When running the "Make Summary Tabs" macro, these items will be MOVED to the "Cancelled" tab.
- Enter the completion date in this column if the ARA audited the change and passed it. When running the "Make Summary Tabs" macro, these items will be MOVED to the "Completed" tab.
</t>
        </r>
        <r>
          <rPr>
            <sz val="12"/>
            <color indexed="81"/>
            <rFont val="Tahoma"/>
            <family val="2"/>
          </rPr>
          <t xml:space="preserve">
</t>
        </r>
      </text>
    </comment>
  </commentList>
</comments>
</file>

<file path=xl/comments4.xml><?xml version="1.0" encoding="utf-8"?>
<comments xmlns="http://schemas.openxmlformats.org/spreadsheetml/2006/main">
  <authors>
    <author>pz8r62</author>
  </authors>
  <commentList>
    <comment ref="J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IEs  have completed all required tasks on the checklist but did not use completion dates
- "N/A" - means that the IE group had no required tasks on the checklist
- A date means that the IEs have  completed all required tasks on the checklist and used completion dates</t>
        </r>
      </text>
    </comment>
    <comment ref="K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MEs have  completed all required tasks on the checklist but did not use completion dates
- "N/A" - means that the ME group had no required tasks on the checklist
- A date means that the MEs have completed all required tasks on the checklist and used completion dates</t>
        </r>
      </text>
    </comment>
    <comment ref="L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PC&amp;L group has completed all required tasks on the checklist but did not use completion dates
- "N/A" - means that the PC&amp;L group had no required tasks on the checklist
- A date means that the PC&amp;L group has completed all required tasks on the checklist and used completion dates</t>
        </r>
        <r>
          <rPr>
            <sz val="12"/>
            <color indexed="81"/>
            <rFont val="Tahoma"/>
            <family val="2"/>
          </rPr>
          <t xml:space="preserve">
</t>
        </r>
      </text>
    </comment>
    <comment ref="M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Met Lab has completed all required tasks on the checklist but did not use completion dates
- "N/A" - means that the Met Lab had no required tasks on the checklist
- A date means that the Met Lab has completed all required tasks on the checklist and used completion dates</t>
        </r>
        <r>
          <rPr>
            <sz val="12"/>
            <color indexed="81"/>
            <rFont val="Tahoma"/>
            <family val="2"/>
          </rPr>
          <t xml:space="preserve">
</t>
        </r>
      </text>
    </comment>
    <comment ref="N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QA group has completed all required tasks on the checklist but did not use completion dates
- "N/A" - means that the QA group had no required tasks on the checklist
- A date means that the QA group has completed all required tasks on the checklist and used completion dates</t>
        </r>
        <r>
          <rPr>
            <sz val="12"/>
            <color indexed="81"/>
            <rFont val="Tahoma"/>
            <family val="2"/>
          </rPr>
          <t xml:space="preserve">
</t>
        </r>
      </text>
    </comment>
    <comment ref="O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Operations group has completed all required tasks on the checklist but did not use completion dates
- "N/A" - means that the Operations group had no required tasks on the checklist
- A date means that the Operations group has completed all required tasks on the checklist and used completion dates</t>
        </r>
        <r>
          <rPr>
            <sz val="12"/>
            <color indexed="81"/>
            <rFont val="Tahoma"/>
            <family val="2"/>
          </rPr>
          <t xml:space="preserve">
</t>
        </r>
      </text>
    </comment>
    <comment ref="P1" authorId="0">
      <text>
        <r>
          <rPr>
            <b/>
            <sz val="12"/>
            <color indexed="81"/>
            <rFont val="Tahoma"/>
            <family val="2"/>
          </rPr>
          <t xml:space="preserve">KEY:
- Enter an "X" in this column if the change is Ready for Audit (ready for the ARA to audit the change). When running the "Make Summary Tabs" macro, these items will be copied to the "Ready for Audit" tab.
- Enter an "R" in this column if the change is Rejected (the ARA had a problem when auditing the change). When running the "Make Summary Tabs" macro, these items will be copied to the "All Rejects" tab.
- Enter "Cancel" in this column if the change is not going to be implemented. When running the "Make Summary Tabs" macro, these items will be MOVED to the "Cancelled" tab.
- Enter the completion date in this column if the ARA audited the change and passed it. When running the "Make Summary Tabs" macro, these items will be MOVED to the "Completed" tab.
</t>
        </r>
        <r>
          <rPr>
            <sz val="12"/>
            <color indexed="81"/>
            <rFont val="Tahoma"/>
            <family val="2"/>
          </rPr>
          <t xml:space="preserve">
</t>
        </r>
      </text>
    </comment>
  </commentList>
</comments>
</file>

<file path=xl/comments5.xml><?xml version="1.0" encoding="utf-8"?>
<comments xmlns="http://schemas.openxmlformats.org/spreadsheetml/2006/main">
  <authors>
    <author>pz8r62</author>
  </authors>
  <commentList>
    <comment ref="J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IEs  have completed all required tasks on the checklist but did not use completion dates
- "N/A" - means that the IE group had no required tasks on the checklist
- A date means that the IEs have  completed all required tasks on the checklist and used completion dates</t>
        </r>
      </text>
    </comment>
    <comment ref="K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MEs have  completed all required tasks on the checklist but did not use completion dates
- "N/A" - means that the ME group had no required tasks on the checklist
- A date means that the MEs have completed all required tasks on the checklist and used completion dates</t>
        </r>
      </text>
    </comment>
    <comment ref="L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PC&amp;L group has completed all required tasks on the checklist but did not use completion dates
- "N/A" - means that the PC&amp;L group had no required tasks on the checklist
- A date means that the PC&amp;L group has completed all required tasks on the checklist and used completion dates</t>
        </r>
        <r>
          <rPr>
            <sz val="12"/>
            <color indexed="81"/>
            <rFont val="Tahoma"/>
            <family val="2"/>
          </rPr>
          <t xml:space="preserve">
</t>
        </r>
      </text>
    </comment>
    <comment ref="M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Met Lab has completed all required tasks on the checklist but did not use completion dates
- "N/A" - means that the Met Lab had no required tasks on the checklist
- A date means that the Met Lab has completed all required tasks on the checklist and used completion dates</t>
        </r>
        <r>
          <rPr>
            <sz val="12"/>
            <color indexed="81"/>
            <rFont val="Tahoma"/>
            <family val="2"/>
          </rPr>
          <t xml:space="preserve">
</t>
        </r>
      </text>
    </comment>
    <comment ref="N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QA group has completed all required tasks on the checklist but did not use completion dates
- "N/A" - means that the QA group had no required tasks on the checklist
- A date means that the QA group has completed all required tasks on the checklist and used completion dates</t>
        </r>
        <r>
          <rPr>
            <sz val="12"/>
            <color indexed="81"/>
            <rFont val="Tahoma"/>
            <family val="2"/>
          </rPr>
          <t xml:space="preserve">
</t>
        </r>
      </text>
    </comment>
    <comment ref="O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Operations group has completed all required tasks on the checklist but did not use completion dates
- "N/A" - means that the Operations group had no required tasks on the checklist
- A date means that the Operations group has completed all required tasks on the checklist and used completion dates</t>
        </r>
        <r>
          <rPr>
            <sz val="12"/>
            <color indexed="81"/>
            <rFont val="Tahoma"/>
            <family val="2"/>
          </rPr>
          <t xml:space="preserve">
</t>
        </r>
      </text>
    </comment>
    <comment ref="P1" authorId="0">
      <text>
        <r>
          <rPr>
            <b/>
            <sz val="12"/>
            <color indexed="81"/>
            <rFont val="Tahoma"/>
            <family val="2"/>
          </rPr>
          <t xml:space="preserve">KEY:
- Enter an "X" in this column if the change is Ready for Audit (ready for the ARA to audit the change). When running the "Make Summary Tabs" macro, these items will be copied to the "Ready for Audit" tab.
- Enter an "R" in this column if the change is Rejected (the ARA had a problem when auditing the change). When running the "Make Summary Tabs" macro, these items will be copied to the "All Rejects" tab.
- Enter "Cancel" in this column if the change is not going to be implemented. When running the "Make Summary Tabs" macro, these items will be MOVED to the "Cancelled" tab.
- Enter the completion date in this column if the ARA audited the change and passed it. When running the "Make Summary Tabs" macro, these items will be MOVED to the "Completed" tab.
</t>
        </r>
        <r>
          <rPr>
            <sz val="12"/>
            <color indexed="81"/>
            <rFont val="Tahoma"/>
            <family val="2"/>
          </rPr>
          <t xml:space="preserve">
</t>
        </r>
      </text>
    </comment>
  </commentList>
</comments>
</file>

<file path=xl/comments6.xml><?xml version="1.0" encoding="utf-8"?>
<comments xmlns="http://schemas.openxmlformats.org/spreadsheetml/2006/main">
  <authors>
    <author>pz8r62</author>
  </authors>
  <commentList>
    <comment ref="J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IEs  have completed all required tasks on the checklist but did not use completion dates
- "N/A" - means that the IE group had no required tasks on the checklist
- A date means that the IEs have  completed all required tasks on the checklist and used completion dates</t>
        </r>
      </text>
    </comment>
    <comment ref="K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MEs have  completed all required tasks on the checklist but did not use completion dates
- "N/A" - means that the ME group had no required tasks on the checklist
- A date means that the MEs have completed all required tasks on the checklist and used completion dates</t>
        </r>
      </text>
    </comment>
    <comment ref="L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PC&amp;L group has completed all required tasks on the checklist but did not use completion dates
- "N/A" - means that the PC&amp;L group had no required tasks on the checklist
- A date means that the PC&amp;L group has completed all required tasks on the checklist and used completion dates</t>
        </r>
        <r>
          <rPr>
            <sz val="12"/>
            <color indexed="81"/>
            <rFont val="Tahoma"/>
            <family val="2"/>
          </rPr>
          <t xml:space="preserve">
</t>
        </r>
      </text>
    </comment>
    <comment ref="M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Met Lab has completed all required tasks on the checklist but did not use completion dates
- "N/A" - means that the Met Lab had no required tasks on the checklist
- A date means that the Met Lab has completed all required tasks on the checklist and used completion dates</t>
        </r>
        <r>
          <rPr>
            <sz val="12"/>
            <color indexed="81"/>
            <rFont val="Tahoma"/>
            <family val="2"/>
          </rPr>
          <t xml:space="preserve">
</t>
        </r>
      </text>
    </comment>
    <comment ref="N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QA group has completed all required tasks on the checklist but did not use completion dates
- "N/A" - means that the QA group had no required tasks on the checklist
- A date means that the QA group has completed all required tasks on the checklist and used completion dates</t>
        </r>
        <r>
          <rPr>
            <sz val="12"/>
            <color indexed="81"/>
            <rFont val="Tahoma"/>
            <family val="2"/>
          </rPr>
          <t xml:space="preserve">
</t>
        </r>
      </text>
    </comment>
    <comment ref="O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Operations group has completed all required tasks on the checklist but did not use completion dates
- "N/A" - means that the Operations group had no required tasks on the checklist
- A date means that the Operations group has completed all required tasks on the checklist and used completion dates</t>
        </r>
        <r>
          <rPr>
            <sz val="12"/>
            <color indexed="81"/>
            <rFont val="Tahoma"/>
            <family val="2"/>
          </rPr>
          <t xml:space="preserve">
</t>
        </r>
      </text>
    </comment>
    <comment ref="P1" authorId="0">
      <text>
        <r>
          <rPr>
            <b/>
            <sz val="12"/>
            <color indexed="81"/>
            <rFont val="Tahoma"/>
            <family val="2"/>
          </rPr>
          <t xml:space="preserve">KEY:
- Enter an "X" in this column if the change is Ready for Audit (ready for the ARA to audit the change). When running the "Make Summary Tabs" macro, these items will be copied to the "Ready for Audit" tab.
- Enter an "R" in this column if the change is Rejected (the ARA had a problem when auditing the change). When running the "Make Summary Tabs" macro, these items will be copied to the "All Rejects" tab.
- Enter "Cancel" in this column if the change is not going to be implemented. When running the "Make Summary Tabs" macro, these items will be MOVED to the "Cancelled" tab.
- Enter the completion date in this column if the ARA audited the change and passed it. When running the "Make Summary Tabs" macro, these items will be MOVED to the "Completed" tab.
</t>
        </r>
        <r>
          <rPr>
            <sz val="12"/>
            <color indexed="81"/>
            <rFont val="Tahoma"/>
            <family val="2"/>
          </rPr>
          <t xml:space="preserve">
</t>
        </r>
      </text>
    </comment>
  </commentList>
</comments>
</file>

<file path=xl/comments7.xml><?xml version="1.0" encoding="utf-8"?>
<comments xmlns="http://schemas.openxmlformats.org/spreadsheetml/2006/main">
  <authors>
    <author>pz8r62</author>
  </authors>
  <commentList>
    <comment ref="J1" authorId="0">
      <text>
        <r>
          <rPr>
            <b/>
            <sz val="8"/>
            <color indexed="81"/>
            <rFont val="Tahoma"/>
            <family val="2"/>
          </rPr>
          <t>KEY:
- If names are listed, those people have required tasks which are not complete
- "Incomplete Info" - means that a name is missing from a required task and no names are listed as needing to complete that task 
- "Complete" - means that group has completed all required tasks on the checklist but did not use completion dates
- "N/A" - means that group had no required tasks on the checklist
- A date means that group has completed all required tasks on the checklist and used completion dates</t>
        </r>
      </text>
    </comment>
    <comment ref="K1" authorId="0">
      <text>
        <r>
          <rPr>
            <b/>
            <sz val="8"/>
            <color indexed="81"/>
            <rFont val="Tahoma"/>
            <family val="2"/>
          </rPr>
          <t>KEY:
- If names are listed, those people have required tasks which are not complete
- "Incomplete Info" - means that a name is missing from a required task and no names are listed as needing to complete that task 
- "Complete" - means that group has completed all required tasks on the checklist but did not use completion dates
- "N/A" - means that group had no required tasks on the checklist
- A date means that group has completed all required tasks on the checklist and used completion dates</t>
        </r>
      </text>
    </comment>
    <comment ref="L1" authorId="0">
      <text>
        <r>
          <rPr>
            <b/>
            <sz val="8"/>
            <color indexed="81"/>
            <rFont val="Tahoma"/>
            <family val="2"/>
          </rPr>
          <t>KEY:
- If names are listed, those people have required tasks which are not complete
- "Incomplete Info" - means that a name is missing from a required task and no names are listed as needing to complete that task 
- "Complete" - means that group has completed all required tasks on the checklist but did not use completion dates
- "N/A" - means that group had no required tasks on the checklist
- A date means that group has completed all required tasks on the checklist and used completion dates</t>
        </r>
        <r>
          <rPr>
            <sz val="8"/>
            <color indexed="81"/>
            <rFont val="Tahoma"/>
            <family val="2"/>
          </rPr>
          <t xml:space="preserve">
</t>
        </r>
      </text>
    </comment>
    <comment ref="M1" authorId="0">
      <text>
        <r>
          <rPr>
            <b/>
            <sz val="8"/>
            <color indexed="81"/>
            <rFont val="Tahoma"/>
            <family val="2"/>
          </rPr>
          <t>KEY:
- If names are listed, those people have required tasks which are not complete
- "Incomplete Info" - means that a name is missing from a required task and no names are listed as needing to complete that task 
- "Complete" - means that group has completed all required tasks on the checklist but did not use completion dates
- "N/A" - means that group had no required tasks on the checklist
- A date means that group has completed all required tasks on the checklist and used completion dates</t>
        </r>
        <r>
          <rPr>
            <sz val="8"/>
            <color indexed="81"/>
            <rFont val="Tahoma"/>
            <family val="2"/>
          </rPr>
          <t xml:space="preserve">
</t>
        </r>
      </text>
    </comment>
    <comment ref="N1" authorId="0">
      <text>
        <r>
          <rPr>
            <b/>
            <sz val="8"/>
            <color indexed="81"/>
            <rFont val="Tahoma"/>
            <family val="2"/>
          </rPr>
          <t>KEY:
- If names are listed, those people have required tasks which are not complete
- "Incomplete Info" - means that a name is missing from a required task and no names are listed as needing to complete that task 
- "Complete" - means that group has completed all required tasks on the checklist but did not use completion dates
- "N/A" - means that group had no required tasks on the checklist
- A date means that group has completed all required tasks on the checklist and used completion dates</t>
        </r>
        <r>
          <rPr>
            <sz val="8"/>
            <color indexed="81"/>
            <rFont val="Tahoma"/>
            <family val="2"/>
          </rPr>
          <t xml:space="preserve">
</t>
        </r>
      </text>
    </comment>
    <comment ref="O1" authorId="0">
      <text>
        <r>
          <rPr>
            <b/>
            <sz val="8"/>
            <color indexed="81"/>
            <rFont val="Tahoma"/>
            <family val="2"/>
          </rPr>
          <t>KEY:
- If names are listed, those people have required tasks which are not complete
- "Incomplete Info" - means that a name is missing from a required task and no names are listed as needing to complete that task 
- "Complete" - means that group has completed all required tasks on the checklist but did not use completion dates
- "N/A" - means that group had no required tasks on the checklist
- A date means that group has completed all required tasks on the checklist and used completion dates</t>
        </r>
        <r>
          <rPr>
            <sz val="8"/>
            <color indexed="81"/>
            <rFont val="Tahoma"/>
            <family val="2"/>
          </rPr>
          <t xml:space="preserve">
</t>
        </r>
      </text>
    </comment>
    <comment ref="P1" authorId="0">
      <text>
        <r>
          <rPr>
            <b/>
            <sz val="12"/>
            <color indexed="81"/>
            <rFont val="Tahoma"/>
            <family val="2"/>
          </rPr>
          <t xml:space="preserve">KEY:
- Enter an "X" in this column if the change is Ready for Audit (ready for the ARA to audit the change). When running the "Make Summary Tabs" macro, these items will be copied to the "Ready for Audit" tab.
- Enter an "R" in this column if the change is Rejected (the ARA had a problem when auditing the change). When running the "Make Summary Tabs" macro, these items will be copied to the "All Rejects" tab.
- Enter "Cancel" in this column if the change is not going to be implemented. When running the "Make Summary Tabs" macro, these items will be MOVED to the "Cancelled" tab.
- Enter the completion date in this column if the ARA audited the change and passed it. When running the "Make Summary Tabs" macro, these items will be MOVED to the "Completed" tab.
</t>
        </r>
        <r>
          <rPr>
            <sz val="12"/>
            <color indexed="81"/>
            <rFont val="Tahoma"/>
            <family val="2"/>
          </rPr>
          <t xml:space="preserve">
</t>
        </r>
      </text>
    </comment>
  </commentList>
</comments>
</file>

<file path=xl/comments8.xml><?xml version="1.0" encoding="utf-8"?>
<comments xmlns="http://schemas.openxmlformats.org/spreadsheetml/2006/main">
  <authors>
    <author>pz8r62</author>
  </authors>
  <commentList>
    <comment ref="J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IEs  have completed all required tasks on the checklist but did not use completion dates
- "N/A" - means that the IE group had no required tasks on the checklist
- A date means that the IEs have  completed all required tasks on the checklist and used completion dates</t>
        </r>
      </text>
    </comment>
    <comment ref="K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MEs have  completed all required tasks on the checklist but did not use completion dates
- "N/A" - means that the ME group had no required tasks on the checklist
- A date means that the MEs have completed all required tasks on the checklist and used completion dates</t>
        </r>
      </text>
    </comment>
    <comment ref="L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PC&amp;L group has completed all required tasks on the checklist but did not use completion dates
- "N/A" - means that the PC&amp;L group had no required tasks on the checklist
- A date means that the PC&amp;L group has completed all required tasks on the checklist and used completion dates</t>
        </r>
        <r>
          <rPr>
            <sz val="12"/>
            <color indexed="81"/>
            <rFont val="Tahoma"/>
            <family val="2"/>
          </rPr>
          <t xml:space="preserve">
</t>
        </r>
      </text>
    </comment>
    <comment ref="M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Met Lab has completed all required tasks on the checklist but did not use completion dates
- "N/A" - means that the Met Lab had no required tasks on the checklist
- A date means that the Met Lab has completed all required tasks on the checklist and used completion dates</t>
        </r>
        <r>
          <rPr>
            <sz val="12"/>
            <color indexed="81"/>
            <rFont val="Tahoma"/>
            <family val="2"/>
          </rPr>
          <t xml:space="preserve">
</t>
        </r>
      </text>
    </comment>
    <comment ref="N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QA group has completed all required tasks on the checklist but did not use completion dates
- "N/A" - means that the QA group had no required tasks on the checklist
- A date means that the QA group has completed all required tasks on the checklist and used completion dates</t>
        </r>
        <r>
          <rPr>
            <sz val="12"/>
            <color indexed="81"/>
            <rFont val="Tahoma"/>
            <family val="2"/>
          </rPr>
          <t xml:space="preserve">
</t>
        </r>
      </text>
    </comment>
    <comment ref="O1" authorId="0">
      <text>
        <r>
          <rPr>
            <b/>
            <sz val="12"/>
            <color indexed="81"/>
            <rFont val="Tahoma"/>
            <family val="2"/>
          </rPr>
          <t>KEY:
- If names are listed, those people have required tasks which are not complete
- "Incomplete Info" - means that a name is missing from a required task and no names are listed as needing to complete that task 
- "Complete" - means that the Operations group has completed all required tasks on the checklist but did not use completion dates
- "N/A" - means that the Operations group had no required tasks on the checklist
- A date means that the Operations group has completed all required tasks on the checklist and used completion dates</t>
        </r>
        <r>
          <rPr>
            <sz val="12"/>
            <color indexed="81"/>
            <rFont val="Tahoma"/>
            <family val="2"/>
          </rPr>
          <t xml:space="preserve">
</t>
        </r>
      </text>
    </comment>
    <comment ref="P1" authorId="0">
      <text>
        <r>
          <rPr>
            <b/>
            <sz val="12"/>
            <color indexed="81"/>
            <rFont val="Tahoma"/>
            <family val="2"/>
          </rPr>
          <t xml:space="preserve">KEY:
- Enter an "X" in this column if the change is Ready for Audit (ready for the ARA to audit the change). When running the "Make Summary Tabs" macro, these items will be copied to the "Ready for Audit" tab.
- Enter an "R" in this column if the change is Rejected (the ARA had a problem when auditing the change). When running the "Make Summary Tabs" macro, these items will be copied to the "All Rejects" tab.
- Enter "Cancel" in this column if the change is not going to be implemented. When running the "Make Summary Tabs" macro, these items will be MOVED to the "Cancelled" tab.
- Enter the completion date in this column if the ARA audited the change and passed it. When running the "Make Summary Tabs" macro, these items will be MOVED to the "Completed" tab.
</t>
        </r>
        <r>
          <rPr>
            <sz val="12"/>
            <color indexed="81"/>
            <rFont val="Tahoma"/>
            <family val="2"/>
          </rPr>
          <t xml:space="preserve">
</t>
        </r>
      </text>
    </comment>
  </commentList>
</comments>
</file>

<file path=xl/sharedStrings.xml><?xml version="1.0" encoding="utf-8"?>
<sst xmlns="http://schemas.openxmlformats.org/spreadsheetml/2006/main" count="5858" uniqueCount="1782">
  <si>
    <t xml:space="preserve">     - "N/A" status means that group had no required tasks on the checklist</t>
  </si>
  <si>
    <t>Added code to create CIL menu on opening and delete it on closing</t>
  </si>
  <si>
    <t>Auto format cell C1 to be red if it is blank - Implementation Plan Path</t>
  </si>
  <si>
    <t>Fixed bug / confusion on group statuses:</t>
  </si>
  <si>
    <t>Freeze "Days Left" calculation when change is completed</t>
  </si>
  <si>
    <t>Corrected problem with declaring multiple variables in one line</t>
  </si>
  <si>
    <t>Turn off screen updating to eliminate flashing and prevent seizures</t>
  </si>
  <si>
    <t>Added Past Due, Failed ARA, Completed as of * tabs</t>
  </si>
  <si>
    <t>Days Left</t>
  </si>
  <si>
    <t>Change Description</t>
  </si>
  <si>
    <t>Target Date</t>
  </si>
  <si>
    <t>Issue Date</t>
  </si>
  <si>
    <t>IE</t>
  </si>
  <si>
    <t>QA</t>
  </si>
  <si>
    <t>OP</t>
  </si>
  <si>
    <t>ME</t>
  </si>
  <si>
    <t>Met Lab</t>
  </si>
  <si>
    <t>PC&amp;L</t>
  </si>
  <si>
    <t>Dept</t>
  </si>
  <si>
    <t xml:space="preserve">Implementation Plan Path: </t>
  </si>
  <si>
    <t>Implementation Plan #</t>
  </si>
  <si>
    <t>Date</t>
  </si>
  <si>
    <t>Rev Description</t>
  </si>
  <si>
    <t>Initiated revision history tracking</t>
  </si>
  <si>
    <t>#</t>
  </si>
  <si>
    <t>PCL</t>
  </si>
  <si>
    <t xml:space="preserve">     - "Complete" status means that group has completed all required tasks on the checklist but did not use completion dates</t>
  </si>
  <si>
    <t xml:space="preserve">     - A date in the status means that group has completed all required tasks on the checklist and used completion dates</t>
  </si>
  <si>
    <t xml:space="preserve">     - "Incomplete Info" status means that a name is missing from a required task and no names are listed as needing to complete that task</t>
  </si>
  <si>
    <t xml:space="preserve">     - Name(s) listed in the status means those people in that group have incomplete required tasks on the checklist</t>
  </si>
  <si>
    <t xml:space="preserve">MET  </t>
  </si>
  <si>
    <t xml:space="preserve">Total Open: </t>
  </si>
  <si>
    <t>Change Management Metrics</t>
  </si>
  <si>
    <t>Metrics</t>
  </si>
  <si>
    <t>All open CNs</t>
  </si>
  <si>
    <t>CNs in progress, not past due</t>
  </si>
  <si>
    <t>CNs past target date for completion</t>
  </si>
  <si>
    <t>Total failed ARA verifications since last report:</t>
  </si>
  <si>
    <t>Failed ARA verifications (since last report)</t>
  </si>
  <si>
    <t>CNs cancelled  (since last report)</t>
  </si>
  <si>
    <t>Total CNs cancelled since last report:</t>
  </si>
  <si>
    <t>Total CNs created since last report:</t>
  </si>
  <si>
    <t>CNs completed  (since last report)</t>
  </si>
  <si>
    <t>New CNs created (since last report)</t>
  </si>
  <si>
    <t>Leave cell to right blank</t>
  </si>
  <si>
    <t>Total CNs completed since last report:</t>
  </si>
  <si>
    <t>Product CN#</t>
  </si>
  <si>
    <t>Mfg CN #</t>
  </si>
  <si>
    <t>Program</t>
  </si>
  <si>
    <t>ARA / 
Close Date</t>
  </si>
  <si>
    <t>Notes</t>
  </si>
  <si>
    <t>Rev 3: massive revision to accomplish many requested items:</t>
  </si>
  <si>
    <t xml:space="preserve">   - Instructions</t>
  </si>
  <si>
    <t xml:space="preserve">   - Added note explaining allowable codes for ARA column</t>
  </si>
  <si>
    <t xml:space="preserve">   - Allow task duplication on one sheet of the checklists</t>
  </si>
  <si>
    <t xml:space="preserve">   - Automatic color coding of rows based on status (entire row for X, R)</t>
  </si>
  <si>
    <t xml:space="preserve">   - Automated metrics collection and reporting</t>
  </si>
  <si>
    <t xml:space="preserve">   - Eliminate "dummy" row 3 that caused problems</t>
  </si>
  <si>
    <t xml:space="preserve">   - "Update All" imports new checklists (remove "Import" menu option)</t>
  </si>
  <si>
    <t xml:space="preserve">   - Remove "Update 1" menu option</t>
  </si>
  <si>
    <t xml:space="preserve">   - Automatically mark records as "Ready for Audit" when all tasks are signed off</t>
  </si>
  <si>
    <t xml:space="preserve">   - Automatically sort records by CN#</t>
  </si>
  <si>
    <t xml:space="preserve">   - Allow multi-tab checklists</t>
  </si>
  <si>
    <t>Rev 3.1: Added several changes to allow Plant 6 to use the tracker for its old format</t>
  </si>
  <si>
    <t>checklists</t>
  </si>
  <si>
    <t>Rev 3.2: Added a few changes to allow Plant 6 to use its existing process</t>
  </si>
  <si>
    <t>for completing checklists - requires all tasks to be looked at</t>
  </si>
  <si>
    <t xml:space="preserve">   - Moved and re-sized metrics chart</t>
  </si>
  <si>
    <t xml:space="preserve">   - Fixed left axis display on metrics chart</t>
  </si>
  <si>
    <t xml:space="preserve">   - Rotated word "Dept" to match other column headings</t>
  </si>
  <si>
    <t xml:space="preserve">   - Names for open CN's will be one per line with a line feed, not comma-separated, for</t>
  </si>
  <si>
    <t xml:space="preserve">     improved readability</t>
  </si>
  <si>
    <t>Rev 3.3: Revised the "GroupStatus" function to have generic logic which works</t>
  </si>
  <si>
    <t>for both the Plant 6 method of completing the checklist and everyone else's.</t>
  </si>
  <si>
    <t>Rev 3.4: Fixed the conditional formatting for the "Days Left" column so records copied to other tabs display appropriately.</t>
  </si>
  <si>
    <t>Rev 3.5: Many small requested changes to improve reporting / viewing ability</t>
  </si>
  <si>
    <t xml:space="preserve">   - Left-align name columns</t>
  </si>
  <si>
    <t>LAB</t>
  </si>
  <si>
    <t xml:space="preserve">   - When a record is Completed or Cancelled, the Days Left formula is removed, and</t>
  </si>
  <si>
    <t xml:space="preserve">     the final value of that field is maintained on the Completed or Cancelled tab</t>
  </si>
  <si>
    <t xml:space="preserve">   - Changed color of reject rows from red to a lighter shade for better readability</t>
  </si>
  <si>
    <t xml:space="preserve">   - Added one blank line at top and bottom of Description field for better readability</t>
  </si>
  <si>
    <t xml:space="preserve">Bug fixes: </t>
  </si>
  <si>
    <t xml:space="preserve">   - when two consecutive rows had the status of cancelled or complete, the second row would not be processed at all. This has been fixed.</t>
  </si>
  <si>
    <t xml:space="preserve">   - If all staffs are marked "N/A" (the checklist has not been initialized), the change will no longer be marked "Ready for Audit"</t>
  </si>
  <si>
    <t xml:space="preserve">   - if a change had been "Ready for Audit", then rejected ("R" in column 16), when the checklist is updated to AGAIN be complete, the change will be marked "Ready for Audit" the next time the Update All is performed.</t>
  </si>
  <si>
    <t xml:space="preserve">   - if the "Days Left" field on the "All Open CNs" tab was blank for the very first record, the logic would enter an endless loop. If it was blank on any other record, the loop to create Summary Tabs for overdue years would end before processing all the open records. Now all records will be processed even if there are blanks.</t>
  </si>
  <si>
    <t>1132 checklist for 1080579403</t>
  </si>
  <si>
    <t>Complete</t>
  </si>
  <si>
    <t>N/A</t>
  </si>
  <si>
    <t>ROKOSZ</t>
  </si>
  <si>
    <t>Target date moved back from 1/6/2012 per request of Lisa Nalazek.</t>
  </si>
  <si>
    <t>1132 checklist for 1080580073</t>
  </si>
  <si>
    <t>Capsticks</t>
  </si>
  <si>
    <t>TRACHSEL</t>
  </si>
  <si>
    <t>IMP33008929</t>
  </si>
  <si>
    <t>Zeta</t>
  </si>
  <si>
    <t>62</t>
  </si>
  <si>
    <t>PIWOWARSKI</t>
  </si>
  <si>
    <t>ARMSTRONG</t>
  </si>
  <si>
    <t>IMP33009556</t>
  </si>
  <si>
    <t>1080579496 &amp; 1080580130</t>
  </si>
  <si>
    <t>Service</t>
  </si>
  <si>
    <t>89</t>
  </si>
  <si>
    <t>CASTANON</t>
  </si>
  <si>
    <t>IMP33009757</t>
  </si>
  <si>
    <t>SEE CHART(S)</t>
  </si>
  <si>
    <t>X352</t>
  </si>
  <si>
    <t>64 &amp; 65</t>
  </si>
  <si>
    <t>IMP33009766</t>
  </si>
  <si>
    <t>Alpha+</t>
  </si>
  <si>
    <t>Multiple</t>
  </si>
  <si>
    <t>SCHOENOW</t>
  </si>
  <si>
    <t>STOUTENBURG</t>
  </si>
  <si>
    <t>IMP33009814</t>
  </si>
  <si>
    <t>IMP33009856</t>
  </si>
  <si>
    <t>33</t>
  </si>
  <si>
    <t>IMP33009938</t>
  </si>
  <si>
    <t>Ford</t>
  </si>
  <si>
    <t>40</t>
  </si>
  <si>
    <t>IMP33010221</t>
  </si>
  <si>
    <t>See Chart(s)</t>
  </si>
  <si>
    <t>Holden</t>
  </si>
  <si>
    <t>IMP33010438</t>
  </si>
  <si>
    <t>1080579652 &amp; 1080580304</t>
  </si>
  <si>
    <t>62 &amp; 63</t>
  </si>
  <si>
    <t>IMP33010819</t>
  </si>
  <si>
    <t>Zeta - Updates to I-Shaft Asm's to include rocking torque of 0.4 Nm.  See prod CN for details.</t>
  </si>
  <si>
    <t>X</t>
  </si>
  <si>
    <t>Ready for Audit 6/23/2013 1:29:25 PM</t>
  </si>
  <si>
    <t>IMP33011712</t>
  </si>
  <si>
    <t>XTS</t>
  </si>
  <si>
    <t>65 &amp; Purchasing</t>
  </si>
  <si>
    <t>IMP33011724</t>
  </si>
  <si>
    <t>K2XX</t>
  </si>
  <si>
    <t>83</t>
  </si>
  <si>
    <t>BRACKENS</t>
  </si>
  <si>
    <t>IMP33011777</t>
  </si>
  <si>
    <t>Refer to CN for DOCS</t>
  </si>
  <si>
    <t>Y1XX</t>
  </si>
  <si>
    <t>90-W</t>
  </si>
  <si>
    <t>IMP33011871</t>
  </si>
  <si>
    <t>IMP33011905</t>
  </si>
  <si>
    <t>900
Fisker
215
222/272</t>
  </si>
  <si>
    <t>IMP33012061</t>
  </si>
  <si>
    <t>IMP33012068</t>
  </si>
  <si>
    <t>47</t>
  </si>
  <si>
    <t>IMP33012159</t>
  </si>
  <si>
    <t>900
610</t>
  </si>
  <si>
    <t>BRACKENS
CASTANON</t>
  </si>
  <si>
    <t>IMP33012609</t>
  </si>
  <si>
    <t>1080551121, EP#72295</t>
  </si>
  <si>
    <t>44</t>
  </si>
  <si>
    <t>MCCARTNEY</t>
  </si>
  <si>
    <t>IMP33012618</t>
  </si>
  <si>
    <t>1080579792/1080581233</t>
  </si>
  <si>
    <t>Holden IP</t>
  </si>
  <si>
    <t>Purchasing</t>
  </si>
  <si>
    <t>IMP33012789</t>
  </si>
  <si>
    <t>IMP33012924</t>
  </si>
  <si>
    <t>LLV Postal Vehicle</t>
  </si>
  <si>
    <t>THIEL</t>
  </si>
  <si>
    <t>IMP33013042</t>
  </si>
  <si>
    <t>D1BL
E18
X352
XTS
Alpha+</t>
  </si>
  <si>
    <t>IMP33013184</t>
  </si>
  <si>
    <t>IMP33013475</t>
  </si>
  <si>
    <t>IMP33013648</t>
  </si>
  <si>
    <t>60</t>
  </si>
  <si>
    <t>IMP33013757</t>
  </si>
  <si>
    <t>Alpha
Alpha+
X352
Holden</t>
  </si>
  <si>
    <t>IMP33014369</t>
  </si>
  <si>
    <t>ZELENIUK</t>
  </si>
  <si>
    <t>IMP33014422</t>
  </si>
  <si>
    <t>IMP33017623</t>
  </si>
  <si>
    <t>43</t>
  </si>
  <si>
    <t>IMP33014546</t>
  </si>
  <si>
    <t>K2XX
610</t>
  </si>
  <si>
    <t>IMP33014649</t>
  </si>
  <si>
    <t>Need to write separate CN for last P/N &amp; can close this CN. Need description for changes to PN from John Armstrong.</t>
  </si>
  <si>
    <t>IMP33014807</t>
  </si>
  <si>
    <t>XTS, E18, X352, Alpha+, D1BL, Holden</t>
  </si>
  <si>
    <t>50</t>
  </si>
  <si>
    <t>IMP33016494</t>
  </si>
  <si>
    <t>IMP33016926</t>
  </si>
  <si>
    <t>35, 83</t>
  </si>
  <si>
    <t>IMP33017052</t>
  </si>
  <si>
    <t>39</t>
  </si>
  <si>
    <t>IMP33017132</t>
  </si>
  <si>
    <t>IMP33017143</t>
  </si>
  <si>
    <t>IMP33017179</t>
  </si>
  <si>
    <t>31, 35, 83</t>
  </si>
  <si>
    <t>IMP33017252</t>
  </si>
  <si>
    <t>IMP33017256</t>
  </si>
  <si>
    <t>IMP33017291</t>
  </si>
  <si>
    <t>IMP33017295</t>
  </si>
  <si>
    <t>900, K2XX, Y1XX</t>
  </si>
  <si>
    <t>31, 35, 83, 90-W</t>
  </si>
  <si>
    <t>IMP33017413</t>
  </si>
  <si>
    <t>IMP33017500</t>
  </si>
  <si>
    <t>K2XX Power</t>
  </si>
  <si>
    <t>IMP33017628</t>
  </si>
  <si>
    <t>31XX</t>
  </si>
  <si>
    <t>IMP33017625</t>
  </si>
  <si>
    <t>35, 39</t>
  </si>
  <si>
    <t>IMP33017843</t>
  </si>
  <si>
    <t>IMP33017884</t>
  </si>
  <si>
    <t>IMP33017910</t>
  </si>
  <si>
    <t>HATFIELD</t>
  </si>
  <si>
    <t>IMP33018022</t>
  </si>
  <si>
    <t>IMP33017993</t>
  </si>
  <si>
    <t>31, 33, 34</t>
  </si>
  <si>
    <t>SOCHA</t>
  </si>
  <si>
    <t>IMP33018016</t>
  </si>
  <si>
    <t>IMP33018048</t>
  </si>
  <si>
    <t>IMP33018093</t>
  </si>
  <si>
    <t>31</t>
  </si>
  <si>
    <t>IMP33018160</t>
  </si>
  <si>
    <t>92</t>
  </si>
  <si>
    <t>IMP33018182</t>
  </si>
  <si>
    <t>IMP33018216</t>
  </si>
  <si>
    <t>IMP33018257</t>
  </si>
  <si>
    <t>K2XX Power ECL</t>
  </si>
  <si>
    <t>IMP33018270</t>
  </si>
  <si>
    <t>IMP33018283</t>
  </si>
  <si>
    <t>Plastics</t>
  </si>
  <si>
    <t>MAURER</t>
  </si>
  <si>
    <t>IMP33018360</t>
  </si>
  <si>
    <t>K2XX ECL</t>
  </si>
  <si>
    <t>IMP33018372</t>
  </si>
  <si>
    <t>32-4, 42</t>
  </si>
  <si>
    <t>HATFIELD
MCCARTNEY</t>
  </si>
  <si>
    <t>IMP33018393</t>
  </si>
  <si>
    <t>K2XX
Y1XX</t>
  </si>
  <si>
    <t>83, 90</t>
  </si>
  <si>
    <t>IMP33018457</t>
  </si>
  <si>
    <t>IMP33018462</t>
  </si>
  <si>
    <t>Obsolete the part numbers that are attached to Documents Affected and Items Affected section of this CN per Obsolete Tracker #176. All of these components are a minimum of 15 years out of production and inactive in the last 10 years.</t>
  </si>
  <si>
    <t>Ready for Audit 8/15/2013 10:41:18 AM</t>
  </si>
  <si>
    <t>IMP33018464</t>
  </si>
  <si>
    <t>Correct print errors on Switch Asm, Pwr T&amp;T Toggle (38010424) to update the location of the revision block stamp and to show the TPA connector as snapped in, not extended.</t>
  </si>
  <si>
    <t>Ready for Audit 8/16/2013 11:42:13 AM</t>
  </si>
  <si>
    <t>IMP33018484</t>
  </si>
  <si>
    <t>Alpha, Alpha+, X352, Holden, 31XX</t>
  </si>
  <si>
    <t>Update Bushing, Lower Pivot (28231323) drawing with new dimensions and tolerances and add QCI # 3 &amp; 4. Change is being made because supplier cannot hold current dimensions for the O.D. of the tower portion.</t>
  </si>
  <si>
    <t>65</t>
  </si>
  <si>
    <t>Ready for Audit 8/15/2013 10:41:19 AM</t>
  </si>
  <si>
    <t>IMP33018533</t>
  </si>
  <si>
    <t>IMP33018559</t>
  </si>
  <si>
    <t>41, 89</t>
  </si>
  <si>
    <t>IMP33018613</t>
  </si>
  <si>
    <t>35, 83, 65</t>
  </si>
  <si>
    <t>IMP33018619</t>
  </si>
  <si>
    <t>IMP33018634</t>
  </si>
  <si>
    <t>IMP33018650</t>
  </si>
  <si>
    <t>K2XX Manual</t>
  </si>
  <si>
    <t>35</t>
  </si>
  <si>
    <t>IMP33018707</t>
  </si>
  <si>
    <t>IMP33018748</t>
  </si>
  <si>
    <t>63</t>
  </si>
  <si>
    <t>FIELD</t>
  </si>
  <si>
    <t>IMP33018787</t>
  </si>
  <si>
    <t>GMT-610</t>
  </si>
  <si>
    <t>IMP33018806</t>
  </si>
  <si>
    <t>IMP33018818</t>
  </si>
  <si>
    <t>IMP33018864</t>
  </si>
  <si>
    <t>K2XX PT&amp;T</t>
  </si>
  <si>
    <t>31, 83</t>
  </si>
  <si>
    <t>IMP33018870</t>
  </si>
  <si>
    <t>SGMW CN200</t>
  </si>
  <si>
    <t>IMP33018937</t>
  </si>
  <si>
    <t>IMP33018939</t>
  </si>
  <si>
    <t>IMP33018940</t>
  </si>
  <si>
    <t>IMP33019065</t>
  </si>
  <si>
    <t>IMP33019072</t>
  </si>
  <si>
    <t>XTS
Alpha
Ford
Zeta
31XX</t>
  </si>
  <si>
    <t>IMP33019078</t>
  </si>
  <si>
    <t>BMW</t>
  </si>
  <si>
    <t>67</t>
  </si>
  <si>
    <t>IMP33019086</t>
  </si>
  <si>
    <t xml:space="preserve"> - Revise Strg Col Hsg Support (38002170) to change print for counter bore depth. The machine is not capable at the current tolerance.
 - Release Upper Bearing Spring (38019419) that will increase the preload on the upper baering in the tilt head.
 - Revise Stering Shaft Asms (28273393, 28286047) to reduce surface finish requirement, add note to require burnishing or grinding to meet the surface, and make supplier requested dimensional changes.</t>
  </si>
  <si>
    <t>IMP33019087</t>
  </si>
  <si>
    <t>IMP33019088</t>
  </si>
  <si>
    <t>GMT-900
K2XX</t>
  </si>
  <si>
    <t>IMP33019095</t>
  </si>
  <si>
    <t>IMP33019130</t>
  </si>
  <si>
    <t>IMP33019174</t>
  </si>
  <si>
    <t>ZELENIUK
WEBSTER</t>
  </si>
  <si>
    <t>IMP33019175</t>
  </si>
  <si>
    <t>56, Purchasing</t>
  </si>
  <si>
    <t>WEBSTER</t>
  </si>
  <si>
    <t>STOUTENBURG
CASTANON</t>
  </si>
  <si>
    <t>IMP33019176</t>
  </si>
  <si>
    <t>60, 62, 64</t>
  </si>
  <si>
    <t>IMP33019177</t>
  </si>
  <si>
    <t>56</t>
  </si>
  <si>
    <t>IMP33019183</t>
  </si>
  <si>
    <t>IMP33019215</t>
  </si>
  <si>
    <t>XTS
Y1XX</t>
  </si>
  <si>
    <t>65, 90-W</t>
  </si>
  <si>
    <t>IMP33019251</t>
  </si>
  <si>
    <t>IMP33019310</t>
  </si>
  <si>
    <t>Directed buy ECL (28307024) changed GM part number (no change to Nexteer p/n) and interface. Revise ECL Brkt (28312511) Datum "A" location tab to a height that will interface with the ECL surface and Datum "C" face to maintain new profile tolerance to accomdate changes to ECL lockbolt tower.
Revice Tolerance Ring (28261978) to have 20 corrugations instead of 21. This affects pos. 5 and pos. 11 on the road-mapped PPAP drawing.</t>
  </si>
  <si>
    <t>Ready for Audit 8/15/2013 10:41:20 AM</t>
  </si>
  <si>
    <t>IMP33019311</t>
  </si>
  <si>
    <t>IMP33019312</t>
  </si>
  <si>
    <t>IMP33019329</t>
  </si>
  <si>
    <t>IMP33019495</t>
  </si>
  <si>
    <t>Alpha (+), Holden, X352</t>
  </si>
  <si>
    <t>IMP33019458</t>
  </si>
  <si>
    <t>64/65</t>
  </si>
  <si>
    <t>IMP33019489</t>
  </si>
  <si>
    <t>Alpha (+), X352</t>
  </si>
  <si>
    <t>IMP33019510</t>
  </si>
  <si>
    <t>Alpha, Holden</t>
  </si>
  <si>
    <t>IMP33019511</t>
  </si>
  <si>
    <t>64, 65</t>
  </si>
  <si>
    <t>IMP33019512</t>
  </si>
  <si>
    <t>IMP33019516</t>
  </si>
  <si>
    <t>IMP33019575</t>
  </si>
  <si>
    <t>IMP33019576</t>
  </si>
  <si>
    <t>IMP33019585</t>
  </si>
  <si>
    <t>Alpha / Alpha+</t>
  </si>
  <si>
    <t>32-4,50</t>
  </si>
  <si>
    <t>BRAEM</t>
  </si>
  <si>
    <t>IMP33019593</t>
  </si>
  <si>
    <t>35/83</t>
  </si>
  <si>
    <t>BELLINGER</t>
  </si>
  <si>
    <t>IMP33019620</t>
  </si>
  <si>
    <t>IMP33019621</t>
  </si>
  <si>
    <t>IMP33020118</t>
  </si>
  <si>
    <t>IMP33020229</t>
  </si>
  <si>
    <t>Holden, Zeta</t>
  </si>
  <si>
    <t>63, 64</t>
  </si>
  <si>
    <t>IMP33020230</t>
  </si>
  <si>
    <t>Ford P415/473</t>
  </si>
  <si>
    <t>60, 62</t>
  </si>
  <si>
    <t>GOSS</t>
  </si>
  <si>
    <t>IMP33020231</t>
  </si>
  <si>
    <t>GMT-610, 800, 900</t>
  </si>
  <si>
    <t>52, 83, 89, 92</t>
  </si>
  <si>
    <t>IMP33020232</t>
  </si>
  <si>
    <t>Y1XX, K2XX, XTS, E18, Alpha+, X352, D1BL</t>
  </si>
  <si>
    <t>65, 83, 90-W</t>
  </si>
  <si>
    <t>COMMENTS</t>
  </si>
  <si>
    <t>1132 checklist for 1080578743</t>
  </si>
  <si>
    <t>CN 1080578207 for multiple GMT900 changes missed drwg updates for wiring harness change on power tilt hybrid column. Drawing 26135129 for wiring harness 26109432 affects columns 28291330, 28291331, 28291332, &amp; 28291333.</t>
  </si>
  <si>
    <t>Ready for Audit 1/18/2012 2:11:24 PM</t>
  </si>
  <si>
    <t>Target Date moved back from 8/30/2011</t>
  </si>
  <si>
    <t>1132 checklist for 1080579137</t>
  </si>
  <si>
    <t>GMX 211 - UPDATE 38004098-RESERVOIR &amp; CAP ASM, REMOTE TO REV "002". NO CHANGES TO THE MODEL OR DRAWING REQUIRED. GM MADE AN ERROR WITH THE DATA WE SENT. THE ORINGINAL EWO IS CLOSED. THEREFORE WE HAVE TO RESUMIT AGAIN TO REV "OO2". PER EWO-FMAZH.</t>
  </si>
  <si>
    <t>Ready for Audit 1/18/2012 4:45:32 PM</t>
  </si>
  <si>
    <t>1132 checklist for 1080579143</t>
  </si>
  <si>
    <t>2012 GMX-211 - 28201566 - Coil Asm, Sir
*Revised as follows:
-Revise location of tie strap from 50/40 to (45).
-Revise note for tie strap to include the following: Force to 
slide tie strap shall be under 10N max. Tie strap shall not
be loose and allow connector to pull through tie strap 
opening.
-Revise wire color for Drawing connector "C" and "D" 
cavity "H" from purple to orange.</t>
  </si>
  <si>
    <t>Ready for Audit 1/27/2012 12:01:08 PM</t>
  </si>
  <si>
    <t>Target date moved back from 11/15/2011</t>
  </si>
  <si>
    <t>1132 checklist for 1080579327</t>
  </si>
  <si>
    <t>Change spot tape back to vinyl tape, leave rest of harness with polyester tape</t>
  </si>
  <si>
    <t>52 &amp; 83</t>
  </si>
  <si>
    <t>1132 checklist for 1080579336</t>
  </si>
  <si>
    <t>2009 Fisker Service - Release one service column, six service shroud kits, six closeouts, and three switches, as listed on the product CN.</t>
  </si>
  <si>
    <t>Ready for Audit 2/3/2012 2:16:38 PM</t>
  </si>
  <si>
    <t>1132 checklist for 1080579142</t>
  </si>
  <si>
    <t>Fisker</t>
  </si>
  <si>
    <t xml:space="preserve">Revise the material of the tele jackscrew asm from 4140 to 1018 steel material. This change was made on the GMX 222/272 power column assemblies in 2010 to reduce noise. This is a catch up CN to make the change across the board for actuator assemblies shown on CHT26094025.  Update Actuator Asm, Jackscrew PN 26094026(GMX215, Fisker), 26094027(GMX295, SGM985), 26063821(GMX270) and 26109899(GMX245) to replace 26069846 jackscrew with 28254888 jackscrew. 
</t>
  </si>
  <si>
    <t>90W</t>
  </si>
  <si>
    <t>Ready for Audit 2/9/2012 2:08:21 PM</t>
  </si>
  <si>
    <t>1132 checklist for 1080578887</t>
  </si>
  <si>
    <t>A Shainin Red X project was completed to find the source of "clicking" in the upper head of tilt columns that use the spring guide. It was found that the ejector pin bosses on the spring guide in a certain orientation causes the click.  Update drawing 26034561 - Guide, Spring with a note that describes the ejector pin bosses to be flush or below the surface. 
THIS CHECKLIST HAS 3 TABS.</t>
  </si>
  <si>
    <t>Ready for Audit 2/29/2012 2:07:35 PM</t>
  </si>
  <si>
    <t>1132 checklist for 1080579251</t>
  </si>
  <si>
    <t>Gamma SUV</t>
  </si>
  <si>
    <t xml:space="preserve">Current China blank supplier will now be replaced with Plant 6 as blank source. This change in the blank from a buy to a make drives a new part number which includes a rust prevention, non-destructive testing, and increased expansion requirements.  
Proposed Solution:  Current Shaft Tubular Blank 28299265 replaced by 38002371.
Tubular Upper Shaft 28281544 revised to agree with the new blank. 
</t>
  </si>
  <si>
    <t>Ready for Audit 2/29/2012 12:20:00 PM</t>
  </si>
  <si>
    <t>Target date moved back from 12/5/2011</t>
  </si>
  <si>
    <t>1132 checklist for 1080579292</t>
  </si>
  <si>
    <t>Chery/
Coda/
Fiat</t>
  </si>
  <si>
    <t xml:space="preserve">CHERY/CODA/FIAT - Outsourced tube shaft blanks now being made in plant 6.
</t>
  </si>
  <si>
    <t>Ready for Audit 2/9/2012 11:14:05 AM</t>
  </si>
  <si>
    <t>1132 checklist for 1080579553</t>
  </si>
  <si>
    <t>2013 XTS:  Modifications to column mounting bracket (P/N 28218634).  Proposed changes do not negatively effect product fit, form or function. Parts have been subjected to PV testing without issue.  See product CN for change details.</t>
  </si>
  <si>
    <t>Ready for Audit 2/14/2012 1:39:18 PM</t>
  </si>
  <si>
    <t>1132 checklist for 1080578900</t>
  </si>
  <si>
    <t>1080578207 (2)</t>
  </si>
  <si>
    <t>GMT 900 -
-Inactivate 12 col asm w/ power tilt p/n's. 
-Release 3 new shift asm p/n's with material added to the shifter bracket to improve theft deterrence.
-Update drawing for wire harness asm 26109432 to add new anti-abrasion tape spec. (rev 006)
-Multiple customer drawings updated.
****Shaft lock change covered on plant CN 1080578594****</t>
  </si>
  <si>
    <t>Ready for Audit 3/14/2012 12:40:42 PM</t>
  </si>
  <si>
    <t>Target date moved back from 10/3/2011</t>
  </si>
  <si>
    <t>1132 checklist for 1080579333</t>
  </si>
  <si>
    <t>2012 GMX 211 - Label change for linear shifter asms.  Label blank revised, label chart updated, and 7 linear shifter asm rev bumps.  See product CN for complete details.</t>
  </si>
  <si>
    <t>1132 checklist for 1080579295</t>
  </si>
  <si>
    <t>Service &amp; S-10 Brazil</t>
  </si>
  <si>
    <t>Service &amp; S-10 (Brazil) Current Production - Update the drawing for P/N 26056009 rev 033 shaft, upper for the width of a groove (Location E-15).</t>
  </si>
  <si>
    <t>1132 checklist for 1080579031</t>
  </si>
  <si>
    <t>270 &amp; 222 Service</t>
  </si>
  <si>
    <t xml:space="preserve">2012 Service columns GMX 270 &amp; 222 - Typo correction for drawing number 26089431 (Housing Asm, Lock Cylinder).  </t>
  </si>
  <si>
    <t>1132 checklist for 1080579585</t>
  </si>
  <si>
    <t>Inactivate multiple GMT900 PN from various EWO's and make a BOM correction. 
EWO: EYMVVB- Work Order No. 1620210
Please see long list on product CN for more info.</t>
  </si>
  <si>
    <t>Ready for Audit 3/14/2012 12:40:43 PM</t>
  </si>
  <si>
    <t>1132 checklist for 1080578571</t>
  </si>
  <si>
    <t>Fiat</t>
  </si>
  <si>
    <t>2011 Chrysler 500 - Various updates for Fiat I-shaft program.</t>
  </si>
  <si>
    <t>32-4 &amp; 50</t>
  </si>
  <si>
    <t>Ready for Audit 4/10/2012 12:08:48 PM</t>
  </si>
  <si>
    <t>1132 checklist for 1080579334</t>
  </si>
  <si>
    <t>Epsilon D</t>
  </si>
  <si>
    <t>EPSILON D - GMT 166/168: CAP &amp; CAPSTICK UPDATE:</t>
  </si>
  <si>
    <t>31 &amp; 33</t>
  </si>
  <si>
    <t>Ready for Audit 4/18/2012 10:48:30 AM</t>
  </si>
  <si>
    <t>1132 checklist for 1080579404</t>
  </si>
  <si>
    <t>SERVICE COLUMNS:  Housing Sleeve 726889 to resource the supplier.  See product CN for details.</t>
  </si>
  <si>
    <t>Ready for Audit 4/10/2012 12:08:49 PM</t>
  </si>
  <si>
    <t>1132 checklist for 1080579517</t>
  </si>
  <si>
    <t>2012 GMX 211 - Revise the following drawing:
26072340 (rev. 038) - Tube Blank Chart, Shaft
-Item #2 (p/n 26054754 rev. 038) column C (dim A overall length) 
revise from 77.76/77.60 to 77.76/77.00.</t>
  </si>
  <si>
    <t>1132 checklist for 1080579548</t>
  </si>
  <si>
    <t>EWO FFXFNB issued for RPO code changes. Customer pulled new chart drawing to have the caged bearing assemblies and the full compliment bearing assemblies reside on the same chart.
Chart 34001288 released on CN 1080578903: This chart to include all GMX 521 saleable assembly part numbers. 
28276195 - Column Asm, Inter Shaft &amp; will be added to charted drawing 34001288. Revision 002 will also show I-Shaft (28276196) information on 34001288 per EWO FFXFNB.</t>
  </si>
  <si>
    <t>Ready for Audit 4/5/2012 4:23:27 PM</t>
  </si>
  <si>
    <t>1132 checklist for 1080579692</t>
  </si>
  <si>
    <t>GMT 355</t>
  </si>
  <si>
    <t>release the following drawing:
38006332 - Shoe, Strg Wheel Lock
GM requested tp eliminate GMT 355 false tilt position warranty issue.  Add material to steering wheel lock shoe to prevent shoe from engaging in the 8.6 degree tilt position.  Verify broaching mfg process can be modified to add material to tilt shoe and that the Asm process is not affected by the change.</t>
  </si>
  <si>
    <t>57-2</t>
  </si>
  <si>
    <t>Ready for Audit 4/30/2012 2:23:59 PM</t>
  </si>
  <si>
    <t>1132 checklist for 1080579698</t>
  </si>
  <si>
    <t>K2XX - Lever Asm, A/Trans Control spec modification.  Change to spec 26112375 rather that newer spec 24099086.
28277931 rev 007
28300792 rev 005
34001562 cht
28278743 rev 002
28278745 rev 002</t>
  </si>
  <si>
    <t>Ready for Audit 4/10/2012 1:42:15 PM</t>
  </si>
  <si>
    <t>1132 checklist for 1080579580</t>
  </si>
  <si>
    <t>SERVICE PRGMS: G-van, GMT550, P-Truck, &amp; P-42
New supplier requested 5 changes to 26026945 (bracket asm, socket &amp;).  Rev 007 created. Changes follow:
1. To replace the "Silicon Rubber Filter" material code 1813-51G11-16 with 1813-31B1C
2. To change the dimension of 63.50 to 63.50 REF.
3. To change the Torsional Load from 8.0 Nm to 0.14 Nm
4. To change the "Identification Tape" color from ORANGE to WHITE
5. Socket Wedge design changed from crimp connection to solder connection</t>
  </si>
  <si>
    <t>Ready for Audit 4/19/2012 4:13:52 PM</t>
  </si>
  <si>
    <t>1132 checklist for 1080578427</t>
  </si>
  <si>
    <t>2011 GMX211 - Current material is no longer available from the material supplier. Material p/n change from 26095495 to 26103490. P/n 26098868 shift lever seal has moved to rev .010.</t>
  </si>
  <si>
    <t>Ready for Audit 5/10/2012 12:30:32 PM</t>
  </si>
  <si>
    <t>1132 checklist for 1080578639</t>
  </si>
  <si>
    <t>IPM Rotors</t>
  </si>
  <si>
    <t>2012 EPS upper rotor asm &amp; subcomponent p/n's released per Ford &amp; Chrysler request to redesign. New p/n's are as follows:
- 28272792 - magnet, upper rotor (magnet blank)
- 28297282 - stack, upper rotor (lam stack)
- 38001671 - asm, upper rotor (molded asm)
Dept 37 will be created and IPM upper rotor machine # SD-120768 will be installed.</t>
  </si>
  <si>
    <t>Target Date moved back from 8/9/2011
Target Date moved back from 8/31/2011</t>
  </si>
  <si>
    <t>1132 checklist for 1080579296</t>
  </si>
  <si>
    <t>IPM Upper Rotor Asm -
Manufacturing unable to make the Upper Rotor Assembly PN 
38001671 and the Magnetized Upper Rotor Assemly PN 38001672 to the print specifications.  Increase the tolerances of the tooling alignment tab position and the North pole position on the prints.</t>
  </si>
  <si>
    <t>Ready for Audit 5/17/2012 6:12:24 AM</t>
  </si>
  <si>
    <t>1132 checklist for 1080579233</t>
  </si>
  <si>
    <t>211 &amp; 355</t>
  </si>
  <si>
    <t>2012 GMX 211 &amp; 355 - Drawing rev on upper shaft P/N's as follows:
-26056006 rev 019
-26056009 rev 033
-26071721 rev 003</t>
  </si>
  <si>
    <t>Ready for Audit 5/7/2012 6:33:08 AM</t>
  </si>
  <si>
    <t>1132 checklist for 1080579046</t>
  </si>
  <si>
    <t>2012 IPM Upper Rotor Asm - Manufacuring requested a change to tolerances on IPM upper rotor drawing (PN 38001671).   Modify GD&amp;T callouts so parts can be made to print without affecting any critical interfaces/tolerance stacks.</t>
  </si>
  <si>
    <t>1132 checklist for 1080579041</t>
  </si>
  <si>
    <t>2012 ZETA (GMX 521/511) - Engrg release of ZL1 I-shaft with full compliment bearings, P/N 38003579 saleable asm.</t>
  </si>
  <si>
    <t>Target date moved back from 11/1/2011</t>
  </si>
  <si>
    <t>1132 checklist for 1080579040</t>
  </si>
  <si>
    <t xml:space="preserve">2012 GMX 211 - Engrg release of 38004099 reservoir &amp; cap asm, remote which replaces 28222743.
Drawing revision of 28222744 reservoir asm, remote.  New rev is 008.  ERROR ON PRODUCT CN: p/n 28222744 is called p/n 28222743 when talking about 3rd change item (drawing revision). </t>
  </si>
  <si>
    <t>1132 checklist for 1080578820</t>
  </si>
  <si>
    <t>Epsilon II - D</t>
  </si>
  <si>
    <t>2012 GMT 166/168 - Engrg release of 38001802 reservoir &amp; cap asm, remote. New components used in making and chart revisions are listed on product CN 1080578702.</t>
  </si>
  <si>
    <t>31, 33, &amp; 34</t>
  </si>
  <si>
    <t>Target Date moved back from 9/19/2011</t>
  </si>
  <si>
    <t>1132 checklist for 1080579330</t>
  </si>
  <si>
    <t>SERVICE COLUMNS:  Add an optional color (black) for Sphere, Centering P/N 26023080. The primary color is "blue".  DuPont, the supplier for this material requested the change.</t>
  </si>
  <si>
    <t>Ready for Audit 5/23/2012 7:01:51 AM</t>
  </si>
  <si>
    <t>1132 checklist for 1080579583</t>
  </si>
  <si>
    <t xml:space="preserve">Cage, Cardan Joint (26093736).  Color option was changed on CN 108050955, rev 22 in 2005. It added the optional color gray to the print but the BOM was never updated.  Add 5115 Material to BOM.  5115 is currently being used for this part in Plant 6.
List 5115 as Primary
List 5484 as Secondary </t>
  </si>
  <si>
    <t>Ready for Audit 6/19/2012 7:41:59 AM</t>
  </si>
  <si>
    <t>1132 checklist for 1080579720</t>
  </si>
  <si>
    <t xml:space="preserve">IPM Upper Rotor P/N 38001671:  ME group has asked for the plasic on the upper rotor asm to be increased to acheive better flow rates in their molds. In order to complete change, the ID of plastic also needs to be increased so the assembly is stack clean.  Increase plastic thickness from 0.5mm to 0.75mm and increase plastic ID </t>
  </si>
  <si>
    <t>1132 checklist for 1080578431</t>
  </si>
  <si>
    <t>K2XX, 610, 211/245</t>
  </si>
  <si>
    <t>2011 K2XX, GMT610, GMX211/245 - Housing and housing support revisions for the Key3 supplier change. This generated a drawing change. Please see product CN for rev levels and p/n's.</t>
  </si>
  <si>
    <t>Ready for Audit 1/18/2012 2:11:23 PM</t>
  </si>
  <si>
    <t>1132 checklist for 1080579636</t>
  </si>
  <si>
    <t>Alpha
/Alpha+/
GMX-352</t>
  </si>
  <si>
    <t>2013 Alpha/Alpha+/X352:  
Various jacket updates to Continental Casting Parts.
Please see product CN 1080579319 for more info.</t>
  </si>
  <si>
    <t>Ready for Audit 8/9/2012 9:53:27 AM</t>
  </si>
  <si>
    <t>1132 checklist for 1080578515</t>
  </si>
  <si>
    <t>Zeta I-Shaft</t>
  </si>
  <si>
    <t>2012 Zeta I-shaft - New Material Spec per SCR 294. Materials Engineering approved the revision to the specific gravity specification on drawing 26140142 per revision 010B. Note says "specific gravity per ASTM D792 METHOD A on molded parts shaft to be: 1.12-1.20" (was 1.12-1.18).</t>
  </si>
  <si>
    <t>Target Date moved back from 7/18/2011</t>
  </si>
  <si>
    <t>1132 checklist for 1080579708</t>
  </si>
  <si>
    <t>ME group has asked to have the plastic thickness increased on the bottom side of the Upper Rotor Asm (PN 28297474). The reason to increase the plastic thickness is to improve plastic flow on the bottom side of the mold and reduce the potential for scrap caused by short shots.  Increase the plastic thickness from 0.5 mm to 0.75 mm.</t>
  </si>
  <si>
    <t>Ready for Audit 8/23/2012 6:52:51 AM</t>
  </si>
  <si>
    <t>1132 checklist for 1080580069</t>
  </si>
  <si>
    <t>1080579461 &amp; 1080579452</t>
  </si>
  <si>
    <t>To obsolete components included in Tracker # 177 and Tracker #176. All these components are inactive in the last 5 years, and they are for service only</t>
  </si>
  <si>
    <t>1132 checklist for 1080579542</t>
  </si>
  <si>
    <t>Various</t>
  </si>
  <si>
    <t xml:space="preserve">Change prints to 40mm max unbonded wire from 20mm unbonded wire on both ends of wire harness. Requested by supplier to enable them to automate wire-to-terminal insert and crimp operation.
Toggle Switch Numbers &amp; Revs:
28298314 Rev 3 -&gt; 28298314 Rev 4
26134539 Rev 4 -&gt; 26134539 Rev 5
26095500 Rev 24 -&gt; 26095000 Rev 25
26129454 Rev 3 -&gt; 26129454 Rev 4 
</t>
  </si>
  <si>
    <t>Plant 6</t>
  </si>
  <si>
    <t>Ready for Audit 8/23/2012 12:56:20 PM</t>
  </si>
  <si>
    <t>1132 checklist for 1080579694</t>
  </si>
  <si>
    <t xml:space="preserve">Change to inner race of lower bearing. Increase length of common inner race to accommodate K2XX project. Inner race is used on bearings for both GMT900 and SGM 201/258.  Inner Race change was validated in K2XX DV. Increased length of race does not impact part fit or function on GMT 900 or SGM 201/258. 
</t>
  </si>
  <si>
    <t>Ready for Audit 9/5/2012 6:58:50 AM</t>
  </si>
  <si>
    <t>1132 checklist for 1080579707</t>
  </si>
  <si>
    <t>GMT 610 -
--Resource supplier of raw lever to AGAPE
--Reroute BTSI wires and add tape
--Revise 2 BOM's
--Revise 4 wiring asm drawings and 1 lever asm drawing</t>
  </si>
  <si>
    <t>1132 checklist for 1080580209</t>
  </si>
  <si>
    <t>Toyota Service</t>
  </si>
  <si>
    <t>Toyota: Engineering release for steel shift bracket (new p/n 38006436, was 26083010) and shift actuator (new p/n 38006435, was 26051956) for the Toyota shifter assembly.</t>
  </si>
  <si>
    <t>Euclid</t>
  </si>
  <si>
    <t>1132 checklist for 1080579962</t>
  </si>
  <si>
    <t>Rotors</t>
  </si>
  <si>
    <t>Lower Rotor Stator 28295991 plating spec correction.  This is a paperwork update only.  Parts are comming in with correct plating.</t>
  </si>
  <si>
    <t>1132 checklist for 1080578187</t>
  </si>
  <si>
    <t>2011 Zeta - P/N 28229755 to rev 002, P/N 26046457 to rev 003, P/N's 26139615 to rev 012, 28227953 to rev 004, &amp; 28227958 to rev 004 rev but superseded by CN 74971. See product CN for change specs.</t>
  </si>
  <si>
    <t>60 &amp; 62</t>
  </si>
  <si>
    <t>Ready for Audit 6/14/2012 7:40:17 AM</t>
  </si>
  <si>
    <t>PPAP(s) not approved</t>
  </si>
  <si>
    <t>1132 checklist for 1080579700</t>
  </si>
  <si>
    <t>K2XX - Clip, Wire Restraint (38007218) engrg release
Clamp, Jacket Tele rev 015
Strap, Wire Harness rev 002
See product for change details.</t>
  </si>
  <si>
    <t>35 &amp; 83</t>
  </si>
  <si>
    <t>Ready for Audit 9/13/2012 9:39:33 AM</t>
  </si>
  <si>
    <t>1132 checklist for 1080579702</t>
  </si>
  <si>
    <t>K2XX - Engrg release of 38005360 Wiring Asm, Strg Column will replace 28243510.</t>
  </si>
  <si>
    <t>1132 checklist for 1080579705</t>
  </si>
  <si>
    <t xml:space="preserve">These parts were plated at Modern Plating Corporation in Freeport Illinois in the past. Modern Plating Corporation's phosphate line broke and they will not fix. These two parts can both be phosphate finished at Curtis Metal Finishing in Machesney Park, Illinois.
</t>
  </si>
  <si>
    <t>Ready for Audit 9/19/2012 6:21:47 AM</t>
  </si>
  <si>
    <t>1132 checklist for 1080580127</t>
  </si>
  <si>
    <t>GMT 900</t>
  </si>
  <si>
    <t xml:space="preserve">Underhead radius change on print. PN 26036497 lists an underhead radius of 0.2 mm MAX.  Change print to show 0.5 mm MAX underhead radius to match current production process. </t>
  </si>
  <si>
    <t>Ready for Audit 10/4/2012 8:34:37 AM</t>
  </si>
  <si>
    <t>1132 checklist for 1080578966</t>
  </si>
  <si>
    <t>Ford P415/P473</t>
  </si>
  <si>
    <t>2012 P415/P473 - Update lower shaft drawing to clarify plant 6 machining operation.  Add a chamfer to the ARP hole of the lower shaft to eliminate a burr from forming.</t>
  </si>
  <si>
    <t>Ready for Audit 10/25/2012 8:49:05 AM</t>
  </si>
  <si>
    <t>1132 checklist for 1080580062</t>
  </si>
  <si>
    <t>Tube Shaft Blanks</t>
  </si>
  <si>
    <t>Changing the tubular shaft blank resourcing from a Chinese company that ships us the tubular blanks already cut to length, to a USA company that ships Nexteer long tubes that have to be cut to length, Phosphate coated and shipped to Suzhou requires changes to the print and BOM.</t>
  </si>
  <si>
    <t>Ready for Audit 10/25/2012 8:49:06 AM</t>
  </si>
  <si>
    <t>IMP33011338</t>
  </si>
  <si>
    <t>FORD - new overmold plastic on 16-tooth lower shaft. 
5538 replaced by 33010330 nylon plastic Rev 001, 26142865 replaced by 38013699 lower shaft asm Rev 001, 26141910 replaced by 38013845 shaft asm steering column</t>
  </si>
  <si>
    <t>Ready for Audit 10/25/2012 8:49:07 AM</t>
  </si>
  <si>
    <t>1132 checklist for 1080579136</t>
  </si>
  <si>
    <t>530 &amp; P-Truck</t>
  </si>
  <si>
    <t xml:space="preserve">Replace the E-Beam welding process with Laser welding and outsource this operation to QUASAR Inc. </t>
  </si>
  <si>
    <t>Ready for Audit 5/10/2012 12:30:33 PM</t>
  </si>
  <si>
    <t>Target date moved back from 10/21/2011</t>
  </si>
  <si>
    <t>1132 checklist for 1080578706</t>
  </si>
  <si>
    <t>DuPont is discontinuing the current material used to make capsticks &amp; shields, therefore switching to an alternate material. Material numbers 7804013 &amp; 7849089 are being replaced by material number 7830694. Please see product CN 1080578164 for complete list of affected parts and documents as well as rev changes.</t>
  </si>
  <si>
    <t>Ready for Audit 11/8/2012 8:04:16 AM</t>
  </si>
  <si>
    <t>Target Date moved back from 8/19/2011</t>
  </si>
  <si>
    <t>1132 checklist for 1080578707</t>
  </si>
  <si>
    <t>Ford P415/P473 - 
Authorization 201000318/30160 (Shaft Blank)
CHT26143766.013 SHAFT BLANK CHART, LOWER STRG
PRD26139096.013 BLANK, LOWER SHAFT
PRD26142865.013 SHAFT ASM, LOWER
Authorization: 201000760/30526 (Lower Shaft)
PRD26141908.015 SHAFT, LOWER
- add chamfer to ARP hole
PRD26141910.027 SHAFT ASM, STEERING COLUMN</t>
  </si>
  <si>
    <t>Ready for Audit 2/15/2012 10:46:26 AM</t>
  </si>
  <si>
    <t>1132 checklist for 1080579138</t>
  </si>
  <si>
    <t>Gamma LR</t>
  </si>
  <si>
    <t>Gamma LR - Revise 10T extrusion on 28269522 (rev 004) shaft, upper tubular and revise 28269523 (rev 004) shaft blank, tubular.</t>
  </si>
  <si>
    <t>50 &amp; 60</t>
  </si>
  <si>
    <t>Ready for Audit 11/15/2012 11:30:02 AM</t>
  </si>
  <si>
    <t>1132 checklist for 1080579639</t>
  </si>
  <si>
    <t>2014 K2XX: 
28249197 Bracket, Inhibitor - Various print changes
38004047 Bracket Asm, Inhibitor &amp; - Revised to agree with 28249197.
See product CN for more info</t>
  </si>
  <si>
    <t>Ready for Audit 11/29/2012 8:22:11 AM</t>
  </si>
  <si>
    <t>1132 checklist for 1080580208</t>
  </si>
  <si>
    <t>SERVICE columns Workhorse, P-42, P-Truck, G-Van &amp; GMT-550: To issue an All Time Buy for liner, cover 26033140. Drawing change to update critical specs creates rev.005 which also creates rev.003 for cover liner asm, pin &amp;.</t>
  </si>
  <si>
    <t>IMP33011375</t>
  </si>
  <si>
    <t>Furukawa</t>
  </si>
  <si>
    <t>Furukawa has corrected the drawings to reflect the actual production process part. Update drawings for the directed buy component.</t>
  </si>
  <si>
    <t>Ready for Audit 11/29/2012 8:22:13 AM</t>
  </si>
  <si>
    <t>IMP33009554</t>
  </si>
  <si>
    <t>GMT 610</t>
  </si>
  <si>
    <t>GMT 610 - Reroute BTSI wire and add abrasion tape.  Also, engineering release of 6 new P/N's to replace old ones for 2012/2013 model years.</t>
  </si>
  <si>
    <t>Ready for Audit 1/9/2013 9:13:58 AM</t>
  </si>
  <si>
    <t>1132 checklist for 1080578564</t>
  </si>
  <si>
    <t>89-91 Buick</t>
  </si>
  <si>
    <t>2011 Service, 89-91 Buick - Due to supplier change and supplier request, the material note was revised for 26027958 - Insulator, Shaft Lock &amp; rev004 was created. No BOM change required, just drwg was revised. Rogers Foam Corporation is the new supplier.</t>
  </si>
  <si>
    <t>86 &amp; 89</t>
  </si>
  <si>
    <t>Ready for Audit 2/7/2013 10:52:41 AM</t>
  </si>
  <si>
    <t>Target Date moved back from 7/22/2011</t>
  </si>
  <si>
    <t>1132 checklist for 1080580237</t>
  </si>
  <si>
    <t>1080578029 &amp; 1080579371</t>
  </si>
  <si>
    <t>Plastics - Cap, Shipping 28277392: Drawing released for Chrysler DS production BOM. Product CN 1080578029 (rev 003) for this P/N has been superceded by Product CN 1080579371 (rev 004).</t>
  </si>
  <si>
    <t>Ready for Audit 2/14/2013 2:28:56 PM</t>
  </si>
  <si>
    <t>IMP33009823</t>
  </si>
  <si>
    <t>GMT900</t>
  </si>
  <si>
    <t>GMT900 - SIR Coil change drives all new column asm numbers.</t>
  </si>
  <si>
    <t>Ready for Audit 2/19/2013 11:28:36 AM</t>
  </si>
  <si>
    <t>IMP33010796</t>
  </si>
  <si>
    <t>J-Car</t>
  </si>
  <si>
    <t>To resource the P/N 26037473 (Support, Strg Col Jacket). The previous supplier went out off business. The new supplier is "Future Die Cast &amp; Engineering Co."</t>
  </si>
  <si>
    <t>Ready for Audit 2/14/2013 2:28:58 PM</t>
  </si>
  <si>
    <t>1132 checklist for 1080579989</t>
  </si>
  <si>
    <t>This CN will cover ALL part numbers for XTS column #28267631 from the initial engrg release to the most current rev level status. Process changes are not included; process CN's should be written by the engineer.</t>
  </si>
  <si>
    <t>Ready for Audit 2/14/2013 2:28:55 PM</t>
  </si>
  <si>
    <t>IMP33008935</t>
  </si>
  <si>
    <t>1080580067 &amp; 1080580123</t>
  </si>
  <si>
    <t>XTS / E18</t>
  </si>
  <si>
    <t>2013 XTS - CN 1080580067 releases new saleable p/n's as well as updates several components and assemblies.  See chart under supporting documents for p/n's &amp; rev's.
CN 1080580123 updates purchased screw, tele nut capture (28284864).</t>
  </si>
  <si>
    <t>Ready for Audit 2/26/2013 12:14:38 PM</t>
  </si>
  <si>
    <t>IMP33010444</t>
  </si>
  <si>
    <t>All</t>
  </si>
  <si>
    <t>All programs - Replace the 7844350 bearing with the 38001761 "waffle bearing" across the board. Change is to eliminate potential noise issue generated from contact between the spider and bearing end cap.  Engrg release 38001761 - Bearing Asm, Needle.</t>
  </si>
  <si>
    <t>Ready for Audit 2/21/2013 4:51:20 PM</t>
  </si>
  <si>
    <t>1132 checklist for 1080579626</t>
  </si>
  <si>
    <t>2014 K2XX Manual T&amp;T component release:
28201686 - Shaft Asm, Steering
--dept 57-1 asm upper to lower shaft
28201687 - Shaft Asm, Lower
--dept 32-4 asm tube and solid shafts
28201688 - Shaft, Tubular Steering
--dept 50 cut-off &amp; phoscoat
--dept 32-4 extrude, mill slot, wash, form pinch tabs</t>
  </si>
  <si>
    <t>Ready for Audit 3/7/2013 10:16:04 AM</t>
  </si>
  <si>
    <t>IMP33010066</t>
  </si>
  <si>
    <t>Outer Diameter of tilt housing 28149912 interferes with the customer CEA bracket. Modify drawing PRD28149912 to add machining operation to OD of tilt housing.</t>
  </si>
  <si>
    <t>Ready for Audit 3/5/2013 10:21:18 AM</t>
  </si>
  <si>
    <t>IMP33011936</t>
  </si>
  <si>
    <t>UAZ</t>
  </si>
  <si>
    <t>Resource Tubular Shaft Blank from YongXing to PTC in the USA. The Tubular Shaft Blank part number will change from 28204639 to 38001505. PTC will cut the Tubular Shaft Blank to length, so that Plant 6 only has to phosphate coat the Blank before boxing and shipping to Suzhou Plant. After phos coat, P/N becomes 38013738.</t>
  </si>
  <si>
    <t>50 (51)</t>
  </si>
  <si>
    <t>8/21//12</t>
  </si>
  <si>
    <t>Ready for Audit 3/5/2013 10:21:19 AM</t>
  </si>
  <si>
    <t>IMP33012054</t>
  </si>
  <si>
    <t>many</t>
  </si>
  <si>
    <t>Remove cast pocket from iron tilt housing 26146343 due to fallout rate at supplier impacting shipments to Nexteer.</t>
  </si>
  <si>
    <t>Ready for Audit 3/24/2013 12:48:07 PM</t>
  </si>
  <si>
    <t>1132 checklist for 1080578526</t>
  </si>
  <si>
    <t>Service GMX 220 - Per customer request.  Change the 40 way connector (unsealed male connector) 15359284 to connector 15475869 and change the PLR (stabilizer) 15359285 to PLR 15445756, these changes apply only for the Column mounted switch version 26115323 - Switch Asm, T/S &amp; Multifunc.</t>
  </si>
  <si>
    <t>Ready for Audit 3/7/2013 10:16:03 AM</t>
  </si>
  <si>
    <t>1132 checklist for 1080579706</t>
  </si>
  <si>
    <t>2014 K2XX - Revise the following drawings:
28259255 - Lock, Shaft rev 004
38002236 - Knob, Tilt rev 003
38003906 - Clip, Spacer rev 004 (not routed)</t>
  </si>
  <si>
    <t>Ready for Audit 3/5/2013 10:21:17 AM</t>
  </si>
  <si>
    <t>IMP33010443</t>
  </si>
  <si>
    <t>Chery</t>
  </si>
  <si>
    <t>CHERY M16 -  Increase length and change chamfers on Tubular Shaft Blank 28301830.  (rev 005)</t>
  </si>
  <si>
    <t>Ready for Audit 3/7/2013 10:16:07 AM</t>
  </si>
  <si>
    <t>IMP33010795</t>
  </si>
  <si>
    <t>SGMW</t>
  </si>
  <si>
    <t>SGMW: Initial design release of Tube Shaft Blanks 38005311 &amp; 28315515 to be shipped to China.</t>
  </si>
  <si>
    <t>IMP33011261</t>
  </si>
  <si>
    <t>Obsolete
Parts</t>
  </si>
  <si>
    <t xml:space="preserve">This is a request from plant #6. All these components are made out of plastic material. The specific tools associated with these components will be obsoleted as well. Floor space will become available in Plant #6 as a result of this action. </t>
  </si>
  <si>
    <t>Ready for Audit 3/26/2013 12:19:53 PM</t>
  </si>
  <si>
    <t>IMP33011967</t>
  </si>
  <si>
    <t>Alpha
Alpha+
X352</t>
  </si>
  <si>
    <t>Customer request to add additional strength to the LH rake guide assembly. Request made to prevent the breaking of the guide when the lever is over-traveled in the unlock position.</t>
  </si>
  <si>
    <t>Ready for Audit 3/7/2013 10:16:09 AM</t>
  </si>
  <si>
    <t>IMP33013152</t>
  </si>
  <si>
    <t xml:space="preserve">ECR 201005085- SCR # 1168 Furakawa-wire size change for Y1XX Jump Harness. For circuits 4 and 7 they would like to up the wire size form .35MM to .8MM. This will ais in both quality of the product and eliminating the concern for a possible wire crossing issue... (P/N 28286548) ECR 201005101- Y1XX wire armor materisl spec updates and clip change- Reivse material spec to Nexteer Spec. Lengthen snap face for better snap engagement.
</t>
  </si>
  <si>
    <t>Ready for Audit 3/5/2013 10:21:20 AM</t>
  </si>
  <si>
    <t>IMP33013925</t>
  </si>
  <si>
    <t>3D model has die lock areas for production tooling. P/N 38012541. Rework 3d model &amp; print per draft suggestion from supplier. Update model and print prior to production supplier cutting steel mold.</t>
  </si>
  <si>
    <t>1132 checklist for 1080579637</t>
  </si>
  <si>
    <t>2014 K2XX: 
28273166 Spring, Telescoping Lock - Material change to relieve stress
28275509 Tube Asm, Tele (Mach) - Revise dimension that locates first full tooth.</t>
  </si>
  <si>
    <t>Ready for Audit 3/29/2013 10:38:37 AM</t>
  </si>
  <si>
    <t>IMP33009850</t>
  </si>
  <si>
    <t>GMT 900 RESERVOIR - Body, Reservoir 28269103 modified creating revision 002.  Body change drives revision bump to Reservoir Asm, Hydraulic Pump 28269102.</t>
  </si>
  <si>
    <t>34</t>
  </si>
  <si>
    <t>Ready for Audit 3/29/2013 10:38:38 AM</t>
  </si>
  <si>
    <t>IMP33010558</t>
  </si>
  <si>
    <t>Gamma</t>
  </si>
  <si>
    <t>Gamma SUV - Shaft Blank, Tubular 38002371 released on CN 79105 at rev 002 then revised to rev 003 (PPAPed) on CN 79846.  Product CN 79846 was never received at Plant 6, that is why the Plant CN is coming out so late.</t>
  </si>
  <si>
    <t>IMP33011265</t>
  </si>
  <si>
    <t>1080578921 &amp; 1080579746</t>
  </si>
  <si>
    <t>K2XX - Initial product release (78921) for Lower Rotor Asm 28296001 and geometry change (79746), which creates rev 004.</t>
  </si>
  <si>
    <t>37</t>
  </si>
  <si>
    <t>Ready for Audit 3/29/2013 10:38:39 AM</t>
  </si>
  <si>
    <t>IMP33013219</t>
  </si>
  <si>
    <t xml:space="preserve">ECR: Y1XX motor tele bracket stamping revsion: 
Remove material from motor bracket to add clearances to telescope bracket. Supplier of 28266572 is unable to meet dimensional requirements with a stamping. There is a potential for contact between the telescope &amp; capture bracket assembly to the stationary....
</t>
  </si>
  <si>
    <t>IMP33014370</t>
  </si>
  <si>
    <t xml:space="preserve">Update the jacket blanks on K2XX to allow more tolerance on the chamfer for the new haven cutoff operation. Decrease the OD tolerance of the jacket blank tubing. Decrease the tolerance of the support hsg ID bore.
</t>
  </si>
  <si>
    <t>Ready for Audit 3/26/2013 12:19:54 PM</t>
  </si>
  <si>
    <t>IMP33010566</t>
  </si>
  <si>
    <t>GMX211</t>
  </si>
  <si>
    <t>GMX211 - 28272480 (rev 005) (PPAPed) - RESERVOIR ASM, HYDRAULIC PUMP REVISED AS FOLLOWS:
1.) REVISED TO AGREE WITH REVS "004A" THRU "004B ON 28272481-BODY, RESERVOIR.
Product CN never received at Plant 6.  That is why this Plant CN is coming out so late.</t>
  </si>
  <si>
    <t>IMP33012905</t>
  </si>
  <si>
    <t>The SAS will have grease added to the male pins and a piece of PET tape added over top of the terminal to prevent contamination. This will be done at Alps and the parts shipped to Nexteer Plant 6. Plant 6 will remove the tape prior to installation on the columns.</t>
  </si>
  <si>
    <t>Purchasing, 52, 83</t>
  </si>
  <si>
    <t>1132 checklist for 1080579389</t>
  </si>
  <si>
    <t>2014 K2XX - Column Asm, Manual Tilt Sub-Asm, &amp; Component Release</t>
  </si>
  <si>
    <t>Ready for Audit 4/11/2013 10:41:53 AM</t>
  </si>
  <si>
    <t>IMP33012215</t>
  </si>
  <si>
    <t>900/Alpha</t>
  </si>
  <si>
    <t xml:space="preserve">CR 201003995 GMT-900 / Alpha- add locking patch to flex coupling bolts; Add thread locking patch to the HMT-900/K2XX &amp; Alpha flex coupling p/n 26043051.
</t>
  </si>
  <si>
    <t>Ready for Audit 4/15/2013 8:47:26 AM</t>
  </si>
  <si>
    <t>1132 checklist for 1080578188</t>
  </si>
  <si>
    <t>2011 Zeta I-shaft:  P/N 26139616 to rev 010 due to a chamfer added on the lower shaft to aid in the assembly of the cardan boot seal.  P/N 26143541 to rev 015 alteration in serration lead in tubular shaft to increase the ease of installation.  Ref CN 72374 for addition of cardan joint boot seal.  Ref product CN 74971 for all other items affected by this change.</t>
  </si>
  <si>
    <t>60 &amp; 63</t>
  </si>
  <si>
    <t>Ready for Audit 4/17/2013 10:24:17 AM</t>
  </si>
  <si>
    <t>1132 checklist for 1080579294</t>
  </si>
  <si>
    <t>2014 K2XX - Shaft Asms &amp; Component engrg release.  11 asms &amp; components total.  Please see product CN for complete list of parts and documents.</t>
  </si>
  <si>
    <t>Ready for Audit 4/15/2013 8:47:24 AM</t>
  </si>
  <si>
    <t>IMP33010441</t>
  </si>
  <si>
    <t>Worm Gears</t>
  </si>
  <si>
    <t>BMW Worm Gears - Geometry changes made to Hub (38005696), Blank Asm (38005697), &amp; Trimmed Asm (38005698).</t>
  </si>
  <si>
    <t>IMP33011880</t>
  </si>
  <si>
    <t>To sale release for two service steering columns and two service kits: 38010446, 38010843, 28220735 &amp; 28220737. The two service columns (380120446 &amp; 380120446) will service the "current production" P/N 28218629 &amp; 28226882.</t>
  </si>
  <si>
    <t>Ready for Audit 4/20/2013 4:34:03 PM</t>
  </si>
  <si>
    <t>IMP33012119</t>
  </si>
  <si>
    <t>XTS
Alpha+
X352</t>
  </si>
  <si>
    <t xml:space="preserve">XTS/Alpha (+)/ X352 PWR and Manual: Move all punched features in upper; Plant 6 is concerned with a burr being generated when turning the bearing nore into the upper jacket. The way the parts are as stacked results in an overlap of the bearing bore to the CEA lock slot by 0.25mm. Remove 4.0 mm pilot hole on upper jacket blank.
</t>
  </si>
  <si>
    <t>64</t>
  </si>
  <si>
    <t>IMP33013198</t>
  </si>
  <si>
    <t>Alpha</t>
  </si>
  <si>
    <t xml:space="preserve">ERC 201004169 Alpha RWD Middle I-shaft- lengthen "tounge" freature on middle shaft. Change affects (P/N 28171999) GM request to lengthen the tounge feature FIV 8.84mm. Change requested by GM LGR assembly plt. to help assemble the middle I-shaft to the lower I-shaft durning vechicle assembly. Print corrections...Alpha RWD middle tubular shaft dimensional changes required to the double D' form.
</t>
  </si>
  <si>
    <t>32-4</t>
  </si>
  <si>
    <t>Ready for Audit 4/9/2013 12:50:44 PM</t>
  </si>
  <si>
    <t>IMP33014626</t>
  </si>
  <si>
    <t>For BMW PEPS program, Engineering Release the following drawings for upcoming design implementation:
38005700 - Hub, Worm Gear
38012673 - Molded Asm, Worm Gear (Hi Op) - this level is added from previous design 
38006606 - Blank Asm, Worm Gear (High Op)
38006607 - Trimmed Asm, Worm Gear (Hi Op)
Changes made to these drawings include:
- Worm gear hub OD change to 81.50 from 88.50 (current PN 38005696) along with misc stamping modifications.
- 2.0 - 5.0 % nucleating agent added in Molded Asm
- Annealing time time and tempearature modified on Blank Asm
- Diaphragm gate cutoff mininmum changed from 5 minutes to 30 minutes on Blank Asm
Auth: ECR 201005513</t>
  </si>
  <si>
    <t>Ready for Audit 4/17/2013 10:22:39 AM</t>
  </si>
  <si>
    <t>IMP33017030</t>
  </si>
  <si>
    <t>K2XX - Revise general note #1 on Telescoping Lock Spring (28273166) to revise min thickness of zinc nickel plating from 0.019mm to 0.0019mm.
Change to Telescoping (Grind) Tube Asm (28271767) to revise general note #2 to have 5% max red rust after 24 hrs has been SUPERSEDED by Product CN 81411.</t>
  </si>
  <si>
    <t>Ready for Audit 4/15/2013 8:47:29 AM</t>
  </si>
  <si>
    <t>IMP33016796</t>
  </si>
  <si>
    <t>2014 K2XX - Revise Lever Asms to change connector color from white to black and wire color from orange to black. Revise telescoping Lever to reduce the size of the (2) slots to help retain the Tele Lever &amp; Cam together.
All other parts on the Product CN have been superseded by later CNs: Tele-Adj Cam (28271779) &amp; Tele-Stationary Cam (28271774) superseded by CN 80703. I.D. Label (38007574) superseded by CN 82056.</t>
  </si>
  <si>
    <t>Ready for Audit 4/16/2013 3:33:07 PM</t>
  </si>
  <si>
    <t>IMP33016998</t>
  </si>
  <si>
    <t>K2XX - Add ribs to inside corners of Strg Col Closeout Shrouds (28212782 &amp; 38003696) to stabilize part &amp; prevent warping. Parts shown on chart 34000928.</t>
  </si>
  <si>
    <t>Ready for Audit 4/15/2013 8:47:28 AM</t>
  </si>
  <si>
    <t>IMP33017103</t>
  </si>
  <si>
    <t>K2XX - Revise Strg Col Hsg (Cast) Support (28203300) to revise volume notation &amp; dimension. Remove QCI's from G/S Lever Asm Support Brkt (28278634) drawing based upon current supplier product history, current machining capability &amp; control plan requirements.
G/S Lever Asm Support Brkt (28278634) has been superseded by Product CN 1080581167.</t>
  </si>
  <si>
    <t>Ready for Audit 4/20/2013 4:34:05 PM</t>
  </si>
  <si>
    <t>IMP33017271</t>
  </si>
  <si>
    <t>Update G/S Lever Asm Support Bracket (28278634) print to remove surface roughness note and add surface finish symbol due to machine capabilities.</t>
  </si>
  <si>
    <t>Ready for Audit 4/20/2013 4:34:06 PM</t>
  </si>
  <si>
    <t>IMP33017028</t>
  </si>
  <si>
    <t>K2XX - Revise clip end of Wire Harness Strap (38001052) so there is more tension when clip is latched. Clip was previously not latching properly &amp; coming undone easily.
Revise E/A Strap (28201684) to add lead-in chamfer to T-section to help align the parts together prior to pressing the clip into the strap. The spacer clip was preivously hard to assemble due to T-section of the E/A strap.</t>
  </si>
  <si>
    <t>IMP33013196</t>
  </si>
  <si>
    <t>GMX 211,231,367,230,210/GMT 900</t>
  </si>
  <si>
    <t>To change the rocking torque for service I-Shafts, from 0.22 Nm to 0.40 Nm for the following car programs: GMX 211, 231, 367, 230 and 210.</t>
  </si>
  <si>
    <t>Ready for Audit 4/15/2013 8:47:27 AM</t>
  </si>
  <si>
    <t>IMP33014017</t>
  </si>
  <si>
    <t>SGM 258/201</t>
  </si>
  <si>
    <t>The process for punching the holes for the plastic injection for connection of the tube to the solid for the SGM258/201 Steering shaft is not capable within the current tolerance. Change tolerance from +/- .25 to +/- .50 to improve plant capability.</t>
  </si>
  <si>
    <t>IMP33014424</t>
  </si>
  <si>
    <t xml:space="preserve">Add material to lock housing to do two things: 1) increase the overall ultimate shaft lock torque so that the lock housing doesn't frature during shaft lock ultimate. 2) add material to not allow access to the lock bolt when the shaft lock shield is present...
</t>
  </si>
  <si>
    <t>Ready for Audit 4/20/2013 4:34:04 PM</t>
  </si>
  <si>
    <t>IMP33014483</t>
  </si>
  <si>
    <t xml:space="preserve">ECR201006186- SCR # 1349 RAMCEL- Requesting official drawing change to match what is currently shown oin dwg 28266752A Revision 011H. Y1XX.
</t>
  </si>
  <si>
    <t>Purchase</t>
  </si>
  <si>
    <t>IMP33016891</t>
  </si>
  <si>
    <t>2014 K2XX - Customer requested Shift Lever bend change of 19 deg &amp; Clevis bend change of 4 deg to allow visual clearance to HVAC controls. Engineering release (2) Shift Lever Clevises (38009862, 38010112), (3) Linear Shift Asms (38009863, 9864, 38010113), (3) A/T Ctrl Lever Asms (38009865, 9867, 3868).
This CN also revised Lock Cyl Hsg Asm (28238435) to add ribs to prevent warping and make process more robust. 
Product CN 82042 supersedes the FOLLOWING P/N's: 38009868, 38010113, 38009867
Product CN 82204 supersedes the FOLLOWING P/N's: 28238435, 38009865</t>
  </si>
  <si>
    <t>1132 checklist for 1080579627</t>
  </si>
  <si>
    <t>1080578975 (2)</t>
  </si>
  <si>
    <t>2014 K2XX Manual T&amp;T component release:
Columns: various make and purchased parts listed on product CN
Shrouds: 8 new numbers found on product CN part list
Jackets: 5 or more new component numbers found</t>
  </si>
  <si>
    <t>IMP33013362</t>
  </si>
  <si>
    <t>To obsolete components included in Obsolete Tracker #176. All these components are minimum 15 years out of production and inactive in the last 10 years.</t>
  </si>
  <si>
    <t>Ready for Audit 5/20/2013 12:57:16 PM</t>
  </si>
  <si>
    <t>1132 checklist for 1080578750</t>
  </si>
  <si>
    <t>Create new part number Shaft Asm, Label &amp; Tubular, (38003123). Remove 38003019 Label, Identification from drawing 28268943 Shaft, Tubular Strg and add to new shaft asm, 38003123.
Revise 28268943 to change the tube lead from 24.70/24.15 to 24.08/23.92</t>
  </si>
  <si>
    <t>CN 1080578750 created new part number Shaft Asm, Label, &amp; Tubular. Brian Hinkins did not complete a 1st Article PPAP for new shaft asm 38003123 which includes label 38003019. Reject back to Brian Hinkins.  First Articles are completed by the ME, so it needs to be returned to the PE also.</t>
  </si>
  <si>
    <t>1132 checklist for 1080579405</t>
  </si>
  <si>
    <t>GAMMA LR - Revised tube shaft 28269522 to rev 005 and tube shaft 28269523 to rev 005. See product CN for more info.</t>
  </si>
  <si>
    <t>Ready for Audit 5/23/2013 12:49:21 PM</t>
  </si>
  <si>
    <t>IMP33014439</t>
  </si>
  <si>
    <t xml:space="preserve">CR 201003652 Proliferate LD PU MTT COLUMNS; This column will be the same as 22936105 except it will have a leather wrapped shift lever. This column will only be availabe in cocoa. This will have a SORP 14OCT13. CR 201003653 Proliferate HD PU MTT COLUMNS; This column will be the same as 22936112 except it will have a leather wrapped shift lever. This column will only be availabe in cocoa. Volumne for this new column is 2000/year. We will be inactivating and replacing several column part numbers also. See CN for parts list.
</t>
  </si>
  <si>
    <t>IMP33014516</t>
  </si>
  <si>
    <t xml:space="preserve">Change the cardan joint bearing retention stake from 3.18mm minimum to 1.2mm minimum wide for the following drawings: 38008275, 28255873, 34003179, 38012216, 28305259.
Add a note to drawing 28289495 to clarify the position of the spring plunger relative to the plastic inject pocket in the solid shaft.
</t>
  </si>
  <si>
    <t>Ready for Audit 5/6/2013 10:22:12 AM</t>
  </si>
  <si>
    <t>IMP33017134</t>
  </si>
  <si>
    <t>K2XX - Revise Coded Key Controller (28242268) to remove material call out from housing and to add a new label.</t>
  </si>
  <si>
    <t>Ready for Audit 6/1/2013 3:38:23 PM</t>
  </si>
  <si>
    <t>IMP33017255</t>
  </si>
  <si>
    <t>Add material to Jacket Telescope Clamp (28273120) to fill in the area between the ribs to create a smooth surface to apply the label.
The change to add Nexteer P/N to ID Label (38007574) has been superseded by Product CN 1080582056.</t>
  </si>
  <si>
    <t>IMP33014549</t>
  </si>
  <si>
    <t>Obsolete the part numbers that are attached to "documents affected" and "Items affected" section of this CN per Obsolete Tracker #176. All of these components are a minimum of 15 years out of production and inactive in the last 10 years</t>
  </si>
  <si>
    <t>Ready for Audit 6/13/2013 11:19:59 AM</t>
  </si>
  <si>
    <t>IMP33009248</t>
  </si>
  <si>
    <t>2013 ALPHA - This CN will cover ALL part numbers for ALPHA columns, shafts, &amp; components from the initial engrg release to the most current rev level status. Process changes are not included; process CN's should be written by the engineer.</t>
  </si>
  <si>
    <t>Ready for Audit 6/23/2013 1:29:24 PM</t>
  </si>
  <si>
    <t>IMP33009821</t>
  </si>
  <si>
    <t>Move bearing bore ledge rearward-in-vehicle and press bearing to the ledge.  Change lead-in chamfer on overmolded shafts.</t>
  </si>
  <si>
    <t>62, 63, 64</t>
  </si>
  <si>
    <t>Ready for Audit 5/24/2013 4:01:17 PM</t>
  </si>
  <si>
    <t>IMP33012170</t>
  </si>
  <si>
    <t>Alpha
Alpha+
Holden</t>
  </si>
  <si>
    <t>Lower jacket and lower bearing adapter changes.</t>
  </si>
  <si>
    <t>IMP33014475</t>
  </si>
  <si>
    <t>Obsolete the part numbers that are attached to documents affected and items affected sections of this CN per Obsolete Tracker #176. All of these part numbers are a minimum of 15 years out of production and inactive in the last 10 years.</t>
  </si>
  <si>
    <t>Ready for Audit 6/20/2013 10:39:46 AM</t>
  </si>
  <si>
    <t>IMP33017294</t>
  </si>
  <si>
    <t>Update Strg Column Wiring Asms to make the following changes:
- Reduce BCM length on all harnesses, adjust the tow/haul (and MFS on SUV) on MT&amp;T harnesses, and adjust the power pigtail to the CPM on power harnesses (affects 38005360, 7629, 7630, 7631, 38010442, 0443)
- Move tear tape up column toward the 42-way connector approx. 20mm. Does not affect fit, form, or function (affects 38005360, 7629, 7630, 7631, 38010442, 0443)
- Update prints to show that label can go on either way &amp; still be OK (will give label different look) and add notes (affects 38005360, 7629, 7630, 38010442, 0443)
- Update prints to show 42-way connector in unlocked position. Prints currently show it in locked position &amp; this is not ideal for Nexteer construction (affects 38007629, 7630, 7631, 38010442, 0443)
The following P/Ns have been superseded by Product CN 1080582057: 38007629, 7630, 7631, 38010442, 0443</t>
  </si>
  <si>
    <t>Ready for Audit 6/20/2013 10:39:47 AM</t>
  </si>
  <si>
    <t>1132 checklist for 1080580107</t>
  </si>
  <si>
    <t>E18</t>
  </si>
  <si>
    <t>This CN will cover ALL part numbers for E18 column #28257880 from the initial engrg release to the most current rev level status as of 3/5/2012. Process changes are not included; process CN's should be written by the engineer.</t>
  </si>
  <si>
    <t>IMP33009425</t>
  </si>
  <si>
    <t>Reservoirs</t>
  </si>
  <si>
    <t>2014 XTS Reservoir &amp; Cap Asm, Remote. Engrg release of saleable asm and new and updated components. See product CN for more information.</t>
  </si>
  <si>
    <t>Ready for Audit 7/14/2013 1:17:40 PM</t>
  </si>
  <si>
    <t>IMP33011346</t>
  </si>
  <si>
    <t>P-Truck
Service</t>
  </si>
  <si>
    <t xml:space="preserve">To update the technical specification for PHOSPHATE TYPE Protective Finishes for P/N 26004261 (SCREW, SUPPORT)  The Delphi specification for corrosion protective finish DX550700 will be replaced by GMW3179. The EP 72154 issued for this issue, will be cancelled. 
</t>
  </si>
  <si>
    <t>IMP33017133</t>
  </si>
  <si>
    <t>K2XX - Revise dimensions and tolerance on Ignition Lock Actuator (28214295) to match the manufacturing process.See product CN for detailed list of changes.</t>
  </si>
  <si>
    <t>IMP33017292</t>
  </si>
  <si>
    <t>Add ejector pin boss to the Switch Mtg Brkt (26086181). The ejector pin boss is currently missing on the new K2XX volume increase tool.
Revise Lower Closeout Shrouds (28313296, 38000948) to add Datum D &amp; Datum Targets D1 &amp; D2 and update notes.
Changes to Upper Closeout Shrouds (28313300, 38000948) have been superseded by Product CN 1080582321.</t>
  </si>
  <si>
    <t>Ready for Audit 7/14/2013 1:17:42 PM</t>
  </si>
  <si>
    <t>IMP33017919</t>
  </si>
  <si>
    <t>Change tolerances of QCI's on Anti-rotation Bracket (28201913).</t>
  </si>
  <si>
    <t>Ready for Audit 7/18/2013 11:26:38 AM</t>
  </si>
  <si>
    <t>IMP33018463</t>
  </si>
  <si>
    <t>Correction of print errors to update location of revision level stamp &amp; color note on Switch Asm, Park Position (38014268).</t>
  </si>
  <si>
    <t>Ready for Audit 7/11/2013 8:21:38 AM</t>
  </si>
  <si>
    <t>IMP33018738</t>
  </si>
  <si>
    <t>Obsolete the part numbers that are attached to Documents Affected and Items Affected section of the Product CN per Obsolete Tracker #176. All of these components are a minimum of 15 years out of production and inactive in the last 10 years.</t>
  </si>
  <si>
    <t>Ready for Audit 7/18/2013 11:26:39 AM</t>
  </si>
  <si>
    <t>IMP33019268</t>
  </si>
  <si>
    <t>Release material spec, Synthetic-Lithium Grease (MSP23387416) for the material part, Synthetic Lithium Grease (28293461). This was missed in the original release of the material part.</t>
  </si>
  <si>
    <t>Ready for Audit 7/25/2013 9:25:31 AM</t>
  </si>
  <si>
    <t>IMP33011353</t>
  </si>
  <si>
    <t>Y-Car</t>
  </si>
  <si>
    <t>Screw P/N 26019721 it is used in the design of Y-Car steering column (Housing Assembly). 
For component P/N 26019721 (Screw, Pan HD 6-Lobed Soc Tap) in the last 10 years we did not have a dedicated supplier for it and was never purchased.</t>
  </si>
  <si>
    <t>IMP33017981</t>
  </si>
  <si>
    <t>Engineering release Strg Whl Posn Sensor Asm (38017488).
All other changes to Col Asms per this Product CN 1080581808 have been superseded by subsequent Product CN's.</t>
  </si>
  <si>
    <t>Ready for Audit 8/4/2013 4:33:09 PM</t>
  </si>
  <si>
    <t>IMP33017768</t>
  </si>
  <si>
    <t>K2XX, Y1XX</t>
  </si>
  <si>
    <t>- Optimize wire length for K2XX power. Increase tele wire length to optimize fatigue &amp; decrease tilt wire length to optimize routing. Revise wire harness length on Motor Asms (28262772, 2773)
- Addition of cam locking feature on Trunnion Nut &amp; bump/lug features on screw in insert. Remove 3-bond adhesive. Increase in standard hours. Revise Insert Nut (38014466) for optional construction views &amp; dimension updates. Revise Tilt Nut Trunnion (28307151) to add locking slot &amp; dimensions and add tread start location &amp; dimensions. Revise Jackscrew Nut Asm (38012536) to change Insert Nut from 38003968 to 38014466 and agree with changes to Tilt Nut Trunnion (28307151).
All other part numbers affected on Product CN have been suerseded by subsequent Product CNs.</t>
  </si>
  <si>
    <t>Ready for Audit 8/11/2013 11:09:38 AM</t>
  </si>
  <si>
    <t>IMP33018289</t>
  </si>
  <si>
    <t>Engineering release Switch Asm, Park Position (38014268) to allow for sorting of parts from new supplier and old supplier (old p/n 26054721) and remove GM symbol callout on top of switch. New supplier for switch is Shinchang.</t>
  </si>
  <si>
    <t>Ready for Audit 8/8/2013 10:28:06 AM</t>
  </si>
  <si>
    <t>IMP33018644</t>
  </si>
  <si>
    <t>K2XX / Y1XX</t>
  </si>
  <si>
    <t>Revise Screw, Actuator Housing (38017257) to increase post diameter to reuce potential lash at the bushing interface and change adhesive color from blue to yellow for error proofing. This CN supersedes Product CN 1080582010 which initially released th Actuator Hsg Screw.</t>
  </si>
  <si>
    <t>35, 90-W</t>
  </si>
  <si>
    <t>IMP33018708</t>
  </si>
  <si>
    <t>Revise Wire Armor (38012541) to add tolerance relief in (5) locations. Revise Tilt Actuator Asm (28204882) to change dimensions &amp; agree with changes to Wire Armor.</t>
  </si>
  <si>
    <t>Ready for Audit 8/11/2013 11:09:39 AM</t>
  </si>
  <si>
    <t>IMP33018875</t>
  </si>
  <si>
    <t>Change tolerance on Motor Asm (28306416) for dimension "F" (clip position). Revise Tilt Actuator Asm (28204882) to agree.</t>
  </si>
  <si>
    <t>IMP33018885</t>
  </si>
  <si>
    <t>Revise Reservoir Baffle (28300614) and Reservoir Screen (28160301) to change the material call out for plastic to match the supplier, change meltin temp to 250-270 deg C, and remove RV requirement.</t>
  </si>
  <si>
    <t>REMOVED FROM FILE</t>
  </si>
  <si>
    <t>1132 checklist for 1080578776</t>
  </si>
  <si>
    <t>XTS/
Alpha+/
GMX-352</t>
  </si>
  <si>
    <t>2012 Alpha+/XTS/GMX-352 - POWER col asm &amp; I-shaft asm component and subcomponent engrg release.</t>
  </si>
  <si>
    <t>BELLINGER
SCHOENOW
BIERLEIN
THIEL
BELANGER</t>
  </si>
  <si>
    <t>ZELENIUK
BASKINS</t>
  </si>
  <si>
    <t>STOUTENBURG
CASTANON
THORNTON
HINKINS
BRACKENS</t>
  </si>
  <si>
    <t>ROKOSZ
HATFIELD</t>
  </si>
  <si>
    <t>CANCEL</t>
  </si>
  <si>
    <t>Target Date moved back from 11/1/2011</t>
  </si>
  <si>
    <t>1132 checklist for 1080578795</t>
  </si>
  <si>
    <t>1080573978 (1)</t>
  </si>
  <si>
    <t>Alpha/
Alpha+/
GMX-352</t>
  </si>
  <si>
    <t>2012 Alpha/Alpha+/GMX-352 Release MANUAL Base Columns Including sub-assembly and component level releases.</t>
  </si>
  <si>
    <t>BELLINGER
COOK
BELANGER
SCHOENOW
JOHNSON
PIWOWARSKI</t>
  </si>
  <si>
    <t>STOUTENBURG
CASTANON
THORNTON
MOLNAR
HINKINS</t>
  </si>
  <si>
    <t>Target Date moved back from 9/30/2011</t>
  </si>
  <si>
    <t>1132 checklist for 1080578940</t>
  </si>
  <si>
    <t>1080573978 (2)</t>
  </si>
  <si>
    <t>2012 Alpha
Release Upper I-Shaft Assemblies (and Components):
28171996- Alpha RWD Upper I-Shaft Asm
28172006- Alpha AWD Upper I-Shaft Asm</t>
  </si>
  <si>
    <t>BRAEM
THIEL
COOK
JOHNSON</t>
  </si>
  <si>
    <t>BRACKENS
THORNTON
MOLNAR
CASTANON
HINKINS</t>
  </si>
  <si>
    <t>MCCARTNEY
HATFIELD</t>
  </si>
  <si>
    <t>Target date moved back from 10/14/2011</t>
  </si>
  <si>
    <t>1132 checklist for 1080579160</t>
  </si>
  <si>
    <t xml:space="preserve">2013 Alpha/Alpha+/GMX352 Manual - Revisions to ECL sleeve bushing, ECL cover, upper jackets, col mtng brkt, lower jacket, ECL lower bearing adapter, &amp; lower jacket (Non ECL).
</t>
  </si>
  <si>
    <t>SCHOENOW
BELLINGER</t>
  </si>
  <si>
    <t>STOUTENBURG
CASTANON
THORNTON</t>
  </si>
  <si>
    <t>1132 checklist for 1080579165</t>
  </si>
  <si>
    <t>2013 Alpha - Rake spring print updated per ECR 201001827. Hook end of the spring (28233421 rev 009) changed from a 6mm min to a 12mm min. This change allows for easier assembly. Rake Spring Asm (28249517 rev 005) updated.</t>
  </si>
  <si>
    <t>1132 checklist for 1080579256</t>
  </si>
  <si>
    <t>Alpha/Alpha+</t>
  </si>
  <si>
    <t>Alpha/Alpha+ - 28304916 Shaft Blank, Inter-Strg - Change in material call out &amp; chamfer/bullet nose change. 28255911 Shaft Asm Reqt, Inter Strg - Tube shaft chamfer added and bullet nose added to solid shaft. See product CN for more info.</t>
  </si>
  <si>
    <t>42 &amp; 62</t>
  </si>
  <si>
    <t>BRACKENS
THORNTON
HINKINS</t>
  </si>
  <si>
    <t>1132 checklist for 1080579368</t>
  </si>
  <si>
    <t>2012 MY XTS/E18/X352/ALPHA+ : 
ENGRG RELEASE:
Col Asm - 24097098 
CPM -28270144
REVISIONS: 
Upper Jacket - 28219076 rev 009
Rake &amp; Tele Support - 28219079 rev 018
Lock Sleeve for ECL Col - 28224887 rev 008
Lower Jacket - 28233904 rev 023
Upper Jacket - 28219076 rev 009
Jacket Asm. - 28220694 rev 015
E/A Strap - 28220734 rev 006
Rake Bracket - 28219081 rev 010
Circuit Card - 28139890 rev 008
Label of CPM - 28270144
For complete list of Affected Documents and other info, please see Product CN 1080578720.</t>
  </si>
  <si>
    <t>BELLINGER
COOK
BELANGER
SCHOENOW</t>
  </si>
  <si>
    <t>STOUTENBURG
THORNTON
CASTANON</t>
  </si>
  <si>
    <t>1132 checklist for 1080579524</t>
  </si>
  <si>
    <t>ALPHA RWD MIDDLE &amp; LOWER I-SHAFT ENGRG RELEASE</t>
  </si>
  <si>
    <t>JOHNSON
BRAEM
THIEL</t>
  </si>
  <si>
    <t>BRACKENS
THORNTON
MOLNAR</t>
  </si>
  <si>
    <t>1132 checklist for 1080579605</t>
  </si>
  <si>
    <t>E18/Alpha+ Power</t>
  </si>
  <si>
    <t>2013 E18/ALPHA+ POWER:  Modify 18.00 turned diameter on lower shaft to 18.61/18.47. On drawing 28226895 - Shaft, Lower. Change is to correct a mistake on the drawing.</t>
  </si>
  <si>
    <t>HINKINS
THORNTON</t>
  </si>
  <si>
    <t>1132 checklist for 1080579607</t>
  </si>
  <si>
    <t>Alpha/XTS
X352</t>
  </si>
  <si>
    <t>2013 Alpha/XTS/X352:  Anti-rotation pin bushing had loose fit issues and a tolerance that was too large. The ARP 28232283 needs to be corrected with a bushing that will fit.</t>
  </si>
  <si>
    <t>This CN affects purchasing only.</t>
  </si>
  <si>
    <t>1132 checklist for 1080579635</t>
  </si>
  <si>
    <t>Alpha/Alpha+/
GMX-352</t>
  </si>
  <si>
    <t xml:space="preserve">Engrg release of Alpha, Alpha+, and X352 saleable column assemblies:
28254067 - Alpha RWD manual R&amp;T, ECL W/upper I-shaft
28254068 - Alpha AWD manual R&amp;T, ECL W/upper I-shaft
28254069 - Alpha RWD manual R&amp;T, W/upper I-shaft
28254070 - Alpha AWD manual R&amp;T, W/upper I-shaft
28315879 - Alpha+ RWD manual R&amp;T, W/upper I-shaft
28315880 - Alpha+ AWD manual R&amp;T, W/upper I-shaft
28287895 - X352 manual R&amp;T W/upper I-shaft </t>
  </si>
  <si>
    <t>STOUTENBURG
THORNTON</t>
  </si>
  <si>
    <t>1132 checklist for 1080579709</t>
  </si>
  <si>
    <t>The potential exists where Upper/Middle/Lower I-Shafts may be assembled to the improper mating part. 
Per GM Request: Add error proofing features across the Upper/Middle/Lower I-Shafts to prevent misassembly at GM Vehicle Assembly Plant. The features will be uniqe so that parts cannot be mixed when assembled. Error proofing features will consist of a groove into the solid shaft which will mate with an error proofing stake in the mating tube.</t>
  </si>
  <si>
    <t>BIERLEIN
BRAEM</t>
  </si>
  <si>
    <t>BRACKENS
THORNTON
CASTANON
MOLNAR</t>
  </si>
  <si>
    <t>1132 checklist for 1080579725</t>
  </si>
  <si>
    <t>This CN will release Alpha I-Shaft sub-assemblies with Error Proofing that have outside operations performed:
Painted Solid shafts;
Painted Tubular Shafts;
Clinch Nut/Tube Assemblies</t>
  </si>
  <si>
    <t>THIEL
COOK</t>
  </si>
  <si>
    <t>BRACKENS
CASTANON
THORNTON
MOLNAR</t>
  </si>
  <si>
    <t>1132 checklist for 1080579787</t>
  </si>
  <si>
    <t>Alpha RWD</t>
  </si>
  <si>
    <t>Alpha RWD I-shaft: Engrg release 38005932/001E - Flange, Lower Strg on 16SE11; Approved by CR 201001501. Purchase part 38005932 is replacing 28231626.</t>
  </si>
  <si>
    <t>1132 checklist for 1080579526</t>
  </si>
  <si>
    <t>ALPHA AWD MID UPPER &amp; MID LOWER I-SHAFT ENGRG RELEASE:</t>
  </si>
  <si>
    <t>BRAEM
JOHNSON
BIERLEIN</t>
  </si>
  <si>
    <t>MOLNAR
THORNTON</t>
  </si>
  <si>
    <t>1132 checklist for 1080579407</t>
  </si>
  <si>
    <t>2012 XTS Power Column - Engrg release of 3 saleable columns. 28267631, 28257880, &amp; 28287894.  See product CN for more info.</t>
  </si>
  <si>
    <t>Cancel</t>
  </si>
  <si>
    <t>1132 checklist for 1080580236</t>
  </si>
  <si>
    <t>26106014-CAP ASM / CAPTICK CHART, RESERVOIR REVISED:  Added 26039958-Spring, Cap Retaining as primary and 7802779-spring as optional</t>
  </si>
  <si>
    <t>TRACHSEL
THORNTON</t>
  </si>
  <si>
    <t>IMP33009847</t>
  </si>
  <si>
    <t>2012 GMT900 - The basic material (steel) and "zinc plated" specifications for this component must be updated with the new upgraded standards.  The goal for this document modification is to change the existing spec. with two new standards and grades for the same material &amp; and the same "surface treatment".</t>
  </si>
  <si>
    <t>BRACKENS
CASTANON
THORNTON</t>
  </si>
  <si>
    <t>1132 checklist for 1080580319</t>
  </si>
  <si>
    <t>1080579494 &amp; 1080579652</t>
  </si>
  <si>
    <t>2014 HOLDEN: Initial I-shaft engineering release (prod CN 1080579494). I-shaft labels removed and drawings revised (prod CN 1080579652).</t>
  </si>
  <si>
    <t>JOHNSON
BRAEM
PIWOWARSKI
THIEL</t>
  </si>
  <si>
    <t>HINKINS
CASTANON
THORNTON</t>
  </si>
  <si>
    <t>cancel</t>
  </si>
  <si>
    <t>IMP33011958</t>
  </si>
  <si>
    <t>SGM</t>
  </si>
  <si>
    <t>Release 4 new column asm number that include autophoretic steering shafts (38010995, 38012935, 38012936, 38012937). 2 new steering shaft asm (38013374, 38013375) as well as 2 new tilt head asm (38012938, 38012939).</t>
  </si>
  <si>
    <t>IMP33009822</t>
  </si>
  <si>
    <t>Change lead in chamfer on all lower-overmolded shafts to reflect 12/10 degrees vs 10 degrees currently. This change is to match the part that plant 6 is currently producing.</t>
  </si>
  <si>
    <t>Comments</t>
  </si>
  <si>
    <t>NUMBER OF OPEN CN'S WHICH ARE OVERDUE</t>
  </si>
  <si>
    <t>Plant 6 Product Changes</t>
  </si>
  <si>
    <t xml:space="preserve">
Engrg release new Cap Asm, Reservoir 38013036.  Cap Asm, Reservoir 26095244 revised and Cap Asm, Reservoir 26095244 change to 38013036.
</t>
  </si>
  <si>
    <t xml:space="preserve">
CR 201003009 - Change dimension from Datum A to bottom of chamfer for jacket interface to account for lack of machine capability.
Remove center pivot pin hole. No longer used as a reference or datum feature.
Pull ahead change for K2XX and corrections.
</t>
  </si>
  <si>
    <t xml:space="preserve">
Release for Ford P552 Column, Component, and Asm. Check description on CN for details.
</t>
  </si>
  <si>
    <t xml:space="preserve">
Various engineering releases and revisions to parts. The description of this list has all the parts with the most current revision level for this CN. List is too long to fit in this description box. Apologies for this inconvenience. 
</t>
  </si>
  <si>
    <t xml:space="preserve">
Change Wire Harness Strap on Upper TIlt Head from 26013823 to 26089427.
Engineering release Column Asms (38010716, 0717, 3142)
Update Adapter &amp; Jkt Asm (28199246) to revise perpendicularity control frame tolerance, revise to agree with 28199247, revise weld note ref. dia. and add roadmap &amp; related info (revise 38001828 to agree), Revise Strg Col Supp Asm (28267069) to agree with changes to 28202977 &amp; 1913 on previous CN (Revise 38001823 to agree); Revise Strg Col Supp Brkt Asm (28311960) to agree with changes to 28302312 made on previous CN (revise 38001827, 1825, 6713, 1824 to agree); Revise Upper Strg Shaft (26086403) to agree with changes to 26086292 made on previous CN (revise 28281208 to agree); Revise Brg &amp; Hsg Asm (28307939) to agree with changes to 28305402 made on previous CN (revise 38000555, 28281207 to agree)
All other changes made on Product CN have been superseded by subsequent Product CN's.
</t>
  </si>
  <si>
    <t xml:space="preserve">
Revise Bearing, Rack (Molded) (28284269) to increase the rack bore length and change from (2) small process holes to one large hole.
</t>
  </si>
  <si>
    <t xml:space="preserve">
Create (3) purchase specs for polypropylene molding resin on shrouds. Material needed for initial runoff &amp; engineer wants material p/n printed on drums to minimize possibility of mixing material with other resins.
</t>
  </si>
  <si>
    <t xml:space="preserve">
Revise Shaft Blank, Tubular (38005899) to increase diameter, revise material spec, increase the radius on the inside of the double "D," and increase the radius on the outside of the tube where the diameter meets the double "D."
Revise Shaft Tubular (28313595), Shaft Inter Strg (Painted) (28313600), Shaft Asm, Inter Strg (Reqt) (28313601), and Shaft Asm, Inter Strg (28305117) to agree with changes.
</t>
  </si>
  <si>
    <t xml:space="preserve">
Update Pin, Telecam (38006700) to add material to eliminate metal to metal contact (causes noise) between the teeth and the compression bracket. Material does not allow the Telecam Pin to tip in the assembly. No cost request done for this because it was a no cost change.
</t>
  </si>
  <si>
    <t>IMP33020314</t>
  </si>
  <si>
    <t>IMP33020336</t>
  </si>
  <si>
    <t xml:space="preserve">
 - Create new p/n for K2XX Park Position Switch provided by Shinchang to allow sorting of parts from new and old suppliers. Use p/n 38014268 for Shinchang park posn switch. Remove GM callout from top of switch. Released in GES on Product CN 1080581647 / Plant CN 1080582837.
 - Eng. release Label, Identification (38015588) to be added to Linear Shift Asm (38015810) for Holden.
 - Revise Brkt, G/S Lever Asm Support (28268864) to add clearance for the modified EPL to improve fit.
 - Revise Switch Asm, Linear (38015810) to use Park Position Switch Asm (38014268 -- was 26015823), add Label Identification (38015588), add Wire Harness Strap (26013823), revise torque from 9-11 Nm to 6-8 Nm, and revise to agree with changes to G/S Lever Asm Support Brkt (28268864).
</t>
  </si>
  <si>
    <t xml:space="preserve">
Update Lock Cyl Hsg Asm (26089464) to add LMC modifier to the lockbolt hole true position tolerance so that Strattec has improved process capability.
</t>
  </si>
  <si>
    <t>Ready for Audit 8/29/2013 12:31:39 PM</t>
  </si>
  <si>
    <t xml:space="preserve">
 - Add choccachino color to the PT&amp;T column. THe column will have a shroud and the leather wrapped &amp; plastic capped shift lever in this new color. This will be a 700/yr volume. New Col Asm (38011954), Shroud Set (38011987), Shift Lever (38011988). Revise Shift Lever Protector Req't (26104418) to chnage p/n from 28300792 to 38011988.
 - Misc. Changes to the following parts - Revise Strg Col Shroud Sets (38004625, 38010491) to change general note. Revise Lower Shroud (38004626) to add dimension &amp; info. Revise Linear Shift Asm (38010113) to add Ball Joint Cap (26053827).
 - All other parts have been superseded by subsequent Product CN's.
</t>
  </si>
  <si>
    <t xml:space="preserve">
Revise Spool Shaft Cover (38010515) to correct flat width. This CN will supersed Product CN 1080582289 that updated detail "E" on the cover to agree with the release of a new Spool Shaft with a groove below the whistle notch.
</t>
  </si>
  <si>
    <t xml:space="preserve">
Revise E/A Retainer (28277945) to reduce clearance between E/A Retainer and Lower Jacket by increasing the width to the E/A Retainer and reducing the tolerance.
</t>
  </si>
  <si>
    <t>Ready for Audit 8/29/2013 12:31:40 PM</t>
  </si>
  <si>
    <t xml:space="preserve">
Change Lower Brg Adptr attachment screw (qty 4) from 26014529 to 26036497. This is to prevent mixing of screws used in the same vicinity on the asm line. Mixing screws to attach the Lwr Brg Adptr is not a concern. Accidentally using the 26014529 to attach the Tele Motor Brkt instead of the 26036497 would result in stripped out holes (best case) or insufficient holding force to support collapse loads (worst case). This ensures that the shorter 26014529 cannot be accidentally used to install the Tele Motor Brkt. Change affects Pwr Tilt &amp; Tele Column Asm (28261971).
</t>
  </si>
  <si>
    <t xml:space="preserve">
Revise Upper Shaft (26139090) to modify undercut detail to reduce scrap &amp; improve capacity. Revise Upper Shaft Asm (26139089), Steering Column Shaft Asm (26141162), Bearing &amp; Shaft Asm (26141161), Shaft &amp; Jacket Asm (26141150), and Manual R&amp;T Column Asm (26141137) to agree with the changes to the Upper Shaft.
</t>
  </si>
  <si>
    <t>IMP33020382</t>
  </si>
  <si>
    <t>IMP33020385</t>
  </si>
  <si>
    <t>Ready for Audit 9/3/2013 7:17:43 AM</t>
  </si>
  <si>
    <t xml:space="preserve">
Revise Dash Seal Asm (28280694) drawing views per supplier's drawing. Customer QD: Material of the cabin-side shaft FOD seal changed from POM (acetyl) to HDPE, and engine-side seal ring from TPU to PTFE +25% GF to address noise issues identified on some cars during vehicle builds. Release Inter Strg (RHD) Shaft Asm (38020609) and Inter Strg (LHD) Shaft Asm (38020610) as a result.
</t>
  </si>
  <si>
    <t>Update Toyota 180L/200L/042L steering shaft drawings to reflect process changes resulting from in-sourcing the upper and lower steering shafts from Harrington to Plant 6 Dimensional changes on the upper and lower shafts are updated to reflect plant 6 capability. Parts have been manufactured under new drawing specifications since resourcing to plant 6 began</t>
  </si>
  <si>
    <t xml:space="preserve">
 - Revise directed buy I-Shaft (28306679) to fix a durability vehicle issue. Revise print to include 17.00/16.86 to bearing sleeve. This has no effect on column interface &amp; doesn't change overall shape or size.
 - Revert to the original A/R pin design due to a difficulty in pulling the trimmed wire tie loop through the shroud at the asm plant. This requires the release of new P/N's for A/R Pin Asm (38019433) &amp; Wire Harness Strap (38019432) that are identical to the original design. There should be additional error proofing to keep the two similar A/R pins separate through the entire value stream, including the return &amp; recycling.
 - Revise Strg Col Tilt Head Asms (28203877, 28262407) to change upper brg spring from 28243372 to 38019419 &amp; to agree with changes to strg shaft asms (28286047 &amp; 28273393) for surface finish. New spring &amp; shaft changes were made on Product CN 82240 / Plant CN 83101.
 - Revise Col Asms (28203874, 28261971) to agree with changes to the following: Col Tele Brkt (28266572) to add (3) locating holes (change made on Product CN 82263 / Plant CN 83284); I-Shaft Asm (28306679) (change made on this CN); Tilt Actuator Asm (28204882) to add brgs &amp; bushings for lash (change made on Product CN 81880 / Plant CN 82877); A/R Pin Asm from 26077772 to 38019433 (change made on this CN); Strg Col Tilt Head Asms (28203877, 28262407) (change made on this CN).
</t>
  </si>
  <si>
    <t xml:space="preserve">
 - Revise Rake (LH) Guide Asm (28233822) and Rake &amp; Tele Lever Asms (28223053, 28276693) to agree with changes made on Rake (LH) Teeth (28230915) to modify slot from a radius to a chamfer to prevent flash when overmodling.
 - Revise Manual R&amp;T Column Asms (38020644, 45, 46) to correct torque values on Col Asm Chart that were incorreclty released on Product CN 82556 / Plant CN 83239. Plant 6 measures torque req'd to lock the lever measured at the rake bolt and converts this to lever locking load at center of thumb pad. This torque shall be the same for X352, Alpha, Alpha+. Lever locking loads will remain unchanged. Changes to Col Asms (38014883, 4918, 19) have been superseded by Product CN 1080582984.
</t>
  </si>
  <si>
    <t xml:space="preserve">
2014 X352 - This CN will cover ALL part numbers for X352 columns, shafts, &amp; components from the initial engrg release to the most current rev level status. Process changes are not included; process CN's should be written by the engineer.
</t>
  </si>
  <si>
    <t xml:space="preserve">
2014 HOLDEN - This CN will cover ALL part numbers for HOLDEN shafts &amp; components from the initial engrg release to the most current rev level status. Process changes are not included; process CN's should be written by the engineer.
</t>
  </si>
  <si>
    <t xml:space="preserve">
Implement release of new part numbers for various changes to the column assemblies: D1BL, E18, X352, XTS, Alpha+. This change notice covers multiple revisions to multiple programs, please look under the properties tab of this CN for an in-depth description.
</t>
  </si>
  <si>
    <t xml:space="preserve">
Engineering release Reservoir Capstick (38016119) &amp; Reservoir Cap Asm (38016118). Capstick will have splash shield &amp; reduced vent hole size to reduce leakage. 
Update Remote Reservoir &amp; Cap Asm (28256754) to add Cap Asm as optional. Revise Remote Res. Asm (28300608) to make print changes &amp; change to new Cap Asm. Revise Remote Res &amp; Cap Asm (28300609) to make dim. changes &amp; use new Cap Asm. Revise Remote Res. &amp; Cap Asm (28300992) to add new Cap Asm as optional &amp; make changes per EWO-GDSFH. Revise Remote Res Asm (28300610) to make dim. changes. Revise Res. Body (28300611) to make print changes.
Changes to Res. Screen (28160301) &amp; Res. Baffle (28300614) have been superseded by Product CN 82433.
</t>
  </si>
  <si>
    <t xml:space="preserve">
Release the following Strg Col Wiring Asms: 38020637 (replaces 38007629), 0638 (replaces 38010442), 0639, 0640 (replaces 38007630), 0641 (replaces 38010443). Revise Strg Col Wiring Asm 38007631.
Replace all current tape on MFS pigtail with Elliott abrasion tape.
Change splice location due to new harness routing location for connectors G &amp; J to reduce strain &amp; increase flexibility on Manual Tilt and Manual T&amp;T.
Remove P/N bar code (Code 39) from part ID label as it is no longer needed.
Change taping to cover back side of connector E tow haul so it cannot click when contacted with column belly band. Current taping on connector E tow haul is only one section of spot tape. Issue seen at GM where connector was not covered in tape &amp; made 'clicking' sound when contacted with belly band during tilt motion. Affects 38020637, 0638, 0640, 0641.
</t>
  </si>
  <si>
    <t xml:space="preserve">
Use low-profile slip seal (28149035) that was vehicle tested on GMX-521. FOD seal requires a new plastic insert ring to interface with the vehicle pedal box. The vehicle asm process causes the FOD seal to dislodge from the vehicle.
Revise Shaft Asms, Inter Strg (38018131, 8132) to add GM p/n info to shaft identification label, replace retainer clamp with slip load, and remove crimp on retaining clamp. Revise Shaft Asm, Upper (28266384) to correct drawing error on dimension.
</t>
  </si>
  <si>
    <t xml:space="preserve">
 - Inactivate Lwr Aptr &amp; Brg Asm (38010502) &amp; Lwr Brg Adptr (38010472) &amp; replace with 38017696 &amp; 38017697 respectively. New Lwr Brg Adptr will be stamped. Revise Lwr Jkt (38008807) to accept stamped adptr. 
 - Update the design for the stamped lwr brg by changing the Lwr Jkt for crash strength improvements. Add chamfer to (2) slots on Upper Jkt bore to reduce noise when telescoping.
 - Revise Lwr Jkt (38008807) &amp; Col Mtg Brkt (38008846) to improve crash strength by adding mat'l to the bottom of the jkt &amp; each side of the mtg brkt.
 - Change from Pin Asm (28308373) to Pin Asm (38017688) due to redesign of the ARP bushing/pin interface to the Upper Jkt to have the bushing stay with the Upper Jkt when the pin is removed to address high removal loads. Replace ARP (28308374) with ARP (38017691) due to geometry changes for the bushing &amp; to change pin mat'l to eliminate distortion from 40 Nm shaft torque. Replace Anti-rotation Bushing (28232289) with A/R Bushing (38017689) to improve removal force (add mat'l between the snaps) &amp; Upper Jkt ARP opening to match. Inactivate Jkt &amp; Jkt Asm p/n's (and replace by): Upper Jkt 38008175 (38018228), Upr (machined) Jkt 38008174 (38018227), Upr (coated) Jkt 38008173 (38018226), Upr Jkt Asm 38008172 (38018225), Upr &amp; Lwr Jkt Asm 38008806 (38018224), E/A Jkt Asm 38008805 (38018223), Shaft &amp; Jkt Asm 38008804 (38018222), E/A &amp; Jkt Asm 38008837 (38018230), Shaft &amp; Jkt Asm 38008833 (38018229).
 - Add 19.5 mm to OAL of Upper Jacket Blank (38000285) to increase overlap of upper to lower &amp; improve crash worthiness.
</t>
  </si>
  <si>
    <t xml:space="preserve">
Revise the paint process for the spider portion of the lower I-shaft asm so that it is properly covered for corrosion protection. The current note on the Lower Strg (Painted) Shaft Asms states that up to 20% of spider no painted permissible has been removed. The spider needs to be coated evely &amp; completely to meet the 10 year corrosion specification for an unbooted lower cardan joint. Revise Zeta Lower Strg (Painted) Shaft Asms (38004897, 28227953) to change note from "Up to 20% of spider not painted permissible" to "Up to 20% of spider not painted permissible, this is a booted joint." Revise Lower Overmold Shaft Asms (28227958, 38004896) and I-Shaft (LHD) Asms (28276196, 38000976) to agree with the change. Revise Holden Lower Strg (Painted) Shaft Asms (38001450, 28284300) to change note from "Up to 20% of spider not painted permissible" to "Full paint coverage of spider required for corrosion protection of unbooted joint." Revise Lower Overmold Shaft Asms (38001449, 28284301) and I-Shaft (RHD, LHD) Asms (38020609, 38020610) to agree with the change.
</t>
  </si>
  <si>
    <t>IMP33020469</t>
  </si>
  <si>
    <t>IMP33020470</t>
  </si>
  <si>
    <t xml:space="preserve">
ZETA - After plant 6 request, the I-shaft label has been removed from BOM (CN 79652).  I-shaft drawings revised to match Alpha prgm for the angle at the shank end of spline (CN 80304).
</t>
  </si>
  <si>
    <t>Ready for Audit 9/8/2013 1:58:28 PM</t>
  </si>
  <si>
    <t xml:space="preserve">
STG: 00004427; CR201004892: Alpha ECL lower bearing adapter and lower jacket changes; Columns need additional turning to meet theft ultimate requirements. Also J+Holden non ECL colum will change to use an X352 lower jacket. A new tool at the supplier will be needed for this. Holden ECL column needs to follow Alpha ECL column with updates to the lower jacket, lower bearing adpater and the removal of the cross car bolt sleeves.
</t>
  </si>
  <si>
    <t xml:space="preserve">
Dept 83 - Change length tolerance on Pan HD Tapping Screw (28263171) print.
Dept 83 - Remove retaining ring on Shoulder Bolt (26060617). Add taper to bolt &amp; change spring to tapered design to slide over OD of bolt &amp; snap into new retaining groove.
Dept 83 - Release Wire Harness Clip (38010582) for power cols. Clip will attach to Controller Brkt. Traditional belly band cannot be used.
Dept 83 - Change color of Telebearing Seat (26060614) fro mwhite to black for errorproofing.
Dept 31 - Revise Wire Protector (28306384) to agree with manufacturing requirements.
Dept 83 - Revise Support Mouting Adapter (26096199) to remove datum targets.
Dept 83 - Revise pitch diameter on Lead (Housing) Screw (28261783).
All other part numbers affected on Product CN have been superseded by subsequent Product CN's.
</t>
  </si>
  <si>
    <t xml:space="preserve">
 - Add length to Shoulder Bolt (28269584) on Anti-Rotation Adapter Asm (28199247) to allow for more lead-in for the tapered spring &amp; ease of assembly.
 - Revise notes on Telebearing Sleeve (28200310), Telescoping Tube Asm (26094462) &amp; Compression Spring (38009041).
 - Revise dimensions on Lower Shroud (38004626), Upper Shroud (38004627) &amp; Cover Protector (38005453).
</t>
  </si>
  <si>
    <t xml:space="preserve">
Create purchase specification for DuPont Delrin 100P NC 010 molding resin to be used for molding rack bearing bushings at plant 6.
</t>
  </si>
  <si>
    <t xml:space="preserve">
Revise Telescope Bumper (28237037) to change rubber material to prevent it from swelling when exposed to grease. Revise Guide Ball Asm (28297204) to agree with 28237037.
</t>
  </si>
  <si>
    <t xml:space="preserve">
Revise Upper Bearing Spring (26055299) to remove blue color dye requirement (Note #14). This is no longer needed in Plant 6 for spring identification and will be a savings.
</t>
  </si>
  <si>
    <t>IMP33020483</t>
  </si>
  <si>
    <t xml:space="preserve">
ENGRG RELEASE OF 28287328-SEAL, O-RING for various reservoir cap assemblies.
</t>
  </si>
  <si>
    <t xml:space="preserve">
THREAD IN PLASTIC NUT FOR Y1XX TILT NUT, PART WILL HAVE 3-BOND THREADLOCK APPLIED. NEW MOLDED PLASTIC NUT WITH 3-BOND THREAD LOCK THAT WILL GET THREADED INTO PROPER ALUMINUM TRUNNION NUT.
</t>
  </si>
  <si>
    <t>Ready for Audit 9/10/2013 10:27:28 AM</t>
  </si>
  <si>
    <t xml:space="preserve">
Revise Worm Gear Molded Asm (38012673) to change plastic I.D. chamfer, change cavity identification area diameter, and replace spec 24097489 with 34006313. Revise Worm Gear Trimmed Asm (38006607) to change plastic I.D. chamfer, plastic O.D. radius, and angle of the trim pocket in hub. Revise Worm Gear Blank Asm (38006606) to agree with changes to Molded Asm and make dimensional change. Correct Material Spec (23449784) to show 2-5% nucleated resin.
</t>
  </si>
  <si>
    <t xml:space="preserve">
Revise Upper Closeout Shrouds (28313300, 38000947) to increase the length of the male snap features to increase the flat engagement overlap. Currently the upper &amp; lower do not stay attached after component removal &amp; replacement.
</t>
  </si>
  <si>
    <t xml:space="preserve">
Release new part numbers for K2XX I-Shaft (38019190) and error proofing Spacer (38019189). GMT-900 part numbers for Upper I-Shaft (26135772) and Spacer (26082899) will remain the same. Revise Spacer 26082899) to update print dimensions and revise I-Shaft (26135772) to agree and to revise note for clip retention.
</t>
  </si>
  <si>
    <t xml:space="preserve">
 - Separate p/n to distinguish between a K2XX tilt leadscrew hsg with bushings and a Y1XX leadscrew hsg without bushings. THe K2XX tilt leadscrew hsg will be getting a new p/n.
 - Revise Housing Asms (28153953, 3955) to add date stamp. Date stamps will be installed into hsg injection mold tooling. Revise all affected Actuator Asms to agree.
 - Revise Jackscrew Nut Asm (38012534) to change from Insert Nut from 38014466 to 38018632 and revise insert nut seating note. Revise Actuator Asm (28144321) to agree.
 - Release Insert Nut (38019291) for low volume part production as alternate construction. This does not replace 38018632 but is to be used while available.
 - Revise Leadscrew Housing (28255695) to add notch to housing (28278080) to have unique sensor signature. Revise Actuator Asm (28204878) to agree.
</t>
  </si>
  <si>
    <t xml:space="preserve">
Revise Spool Shaft Cover (38013098) to add a detent tab. This addresses GM's desire to increase the spool shaft cover retention force by adding a locking feature. The cover provides error proofing at the assembly plant for installation of I-Shaft Asm.
</t>
  </si>
  <si>
    <t xml:space="preserve">
Revise Tubular Shaft (28313595) to change the tongue length tolerance from +/- 0.25 to +/- 0.5 mm. This changei s being made to agree with current Alpha tubes.
</t>
  </si>
  <si>
    <t>Ready for Audit 9/12/2013 10:38:48 AM</t>
  </si>
  <si>
    <t xml:space="preserve">
Revise Column Asms (see Affected Documents on the Product CN for complete list) to agree with the release of new P/N's for K2XX Upper I-Shaft (from 26135772 to 38019190) &amp; error proofing spacer made on Product CN 1080582187 / Plant CN 1080583103. GMT-900 P/N's for Upper I-Shaft and spacer will remain the same.
</t>
  </si>
  <si>
    <t>Chrysler F500</t>
  </si>
  <si>
    <t>Alpha+ RWD</t>
  </si>
  <si>
    <t>IMP33020554</t>
  </si>
  <si>
    <t xml:space="preserve">
Dept 62 / 63 / Purchasing - Revise Yoke Asm, Lower Strg (28254205), Shaft Asms, Lower (28284299, 38001451), Shaft Asms, Lower Strg (Painted) (28284300, 38001450), Shaft Asms, Lower Overmold (28284301, 38001449), Shaft Asms, Inter Strg (LHD) (28280287, 28280288) to agree with changes made to Yoke, Strg Gear Clamp (28268382 - Plt 7) for wider saw slot.
Purchasing - Revise Follower, Bolt (38011734) to change geometry for Holden packaging environment to remain below the column mtg brkt. The shoulder bolt will change to allow the assembly of a new detail to retian the Retainer, Eccentric Cam (38011736) and add feature that will be used by plant 72 that will ensure it is not mixed with the bolt follower used in plant 6. Eng. release Retainer, Eccentric Cam (38011736) &amp; Follower, Bolt (38011734). Plant 6 is responsible for PPAP.
Dept 64 / 65 / Purchasing - Misc. Updates - Revise E/A req'ts on Strap, E/A (28280068). Revise Retainer Asm (28280071), Jkt Asms, Upr &amp; Lwr (28314227 &amp; 28280070) to agree w/ 28280068. Revise Shaft Asm, Strg Col (28308576) to agree w/ Shaft Asm, Upper (28266384) made on prev. CN. Revise Shaft Asm, Brg &amp; (28308579) to agree w/ 28308576. Revise Jkt Asm, Shaft &amp; (28280675) to agree w/ 28280070, 28308579 &amp; Label (38011291 - prev. CN). Revise Brg Asm, Lwr Adptr &amp; (38013176) to agree with Bushing (38010882), Brg Asm (26099791) &amp; Adptr, Lwr Brg (28233424) made on prev. CNs. Revise Shaft Asm, Brg &amp; (28284706) to agree w/ 38013176. Revise Jkt Asm, Shaft &amp; (28308570) to agree w/ 28284706, 28314227 &amp; Label (38011290 - prev CN). Revise Retainer Asm, Strap &amp; (28286428) to agree w/ E/A Strap (28277944) made on prev. CN. Revise Jacket Asm, Upp &amp; Lwr (28231332) to agree w/ 28286428. Revise Jkt Asm, Shaft &amp; (28280069) to agree w/ 28231332 &amp; Label (38011292 - prev. CN).
</t>
  </si>
  <si>
    <t xml:space="preserve">
K2XX - Multiple changes are covered on this CN. (Please see ALL tabs at bottom)
----------------------------------------------------------
- Dept 31 - Revise Tilt Knob (38002236) to increase tolerances per manufacturing requirements
- Dept 31 - Revise Lower Shroud (28201698) to agree with changes to geometry to improve the step, rib &amp; attachment and alignment to the core action vectors on closeout shrouds.
- Dept 44 - Revise anti-rotation feature on Strg Col Hsg Support (28220525) to improve manufacturability.
- Dept 35/83 - Revise dimensions &amp; tolerance of key hole slot on Cable Support Brkt (28278637) per supplier request. Revise Cable Support Brkt Asm (28278639) to agree with changes.
-----------------------------------------------------------
All other affected part numbers on the Product CN have been superseded by susequent Product CNs
</t>
  </si>
  <si>
    <t xml:space="preserve">
 - Revise E/A Straps (38008182, 8183) to remove optional material &amp; updating load curve. Revise interface of 8183 to lwr jkt to reduce delay in building.
 - Revise Guide Retainer (38010141) to revise QCI crush load base on supplier capability.
 - Revise Bolt Retainer (38008194) to change the P/N, cav. # and mat'l ID code location. Revise Rake &amp; Tele Lever Asm (38013475) to agree.
 - Revise E/A Delasher (38008191) to add last 4 digits of the P/N, cavity # &amp; mat'l ID code.
 - Update Deflector Plate Asm (38010550) drawing for PPAP to reflect an earlier chnge to increase the shield boss thickness. Add note no lash / movement permissible between components after heating staking to prevent noise.
</t>
  </si>
  <si>
    <t xml:space="preserve">
 - Revise Deflector Shield (38010552) to revise dimensions to allow the mold shop to use a standard ejector as requested by the supplier. This is a 'purchase included' part with Deflector Plate Asm (38010550).
 - Revise Shoulder Screw (38010796) to change the R to corner as formed &amp; thread adhesive color from blue to pink.
 - Revise Eccentric Rocker (38008810) per supplier to change edge radius to sharp corners to allow parting line/shutoffs in tooling and update design for stack concerns, lock/unlock clearance, cam/spring OD clearance &amp; lwr jkt clearance.
 - ALL other affected P/N's on the Product CN have been superseded by subsequent Product CN's (see 'Properties' tab of Plant CN)
</t>
  </si>
  <si>
    <t xml:space="preserve">
 - Redimension Eccentric Spring (38008811) to change profile tolerances to over/under angle dimensions &amp; add reference to torque values in charts. Update Rake Spring (38008182) to correct the coil pitch &amp; spring force.
 - Revise Lock Sleeve (38003459) to remove optional materials now that the part has been sourced to Sunway.
 - Revise Clamp Bolt (38008180) to change the start of threads and adhesive. Change the color of adhesive from blue to pick per MAPP review with Semblex.
 - Revisions to Rake Lever Asm and Rake &amp; Tele Lever Asm superseded by subsequent Product CN's.
</t>
  </si>
  <si>
    <t xml:space="preserve">
Release Steering Shaft Coupling (38022638); this will replace current coupling (28252100). The new coupling will have a 1.5 mm increase in height to allow for additional compression to the coupling and prevent relative movement to the inner steel sleeve. Also release Steering Coupling Asm (38022640) &amp; I-Shaft Asm (38022641). Revise Shaft &amp; Coupling Asm (28314578) &amp; Flange &amp; Coupling Asm (28252953) to use 38022638. Revise the following parts to agree with these changes: Flange &amp; Coupling Asm (28314616), Strg Coupling Asm (28252956), I-Shaft (Req't) Asm (28314617), Strg Painted Coupling Asms (28314618, 28172419), Boot &amp; I-Shaft Asm (38012217).
</t>
  </si>
  <si>
    <t>IMP33020593</t>
  </si>
  <si>
    <t>IMP33020594</t>
  </si>
  <si>
    <t xml:space="preserve">
 - Commonize screws in jacket asm cell to eliminate potential for mix. Use 26036497 screw in place of 26014529 for attachment of the anti-rotation brkt to the support. The 26036497 screw is already used to attach the seat housing to the jacket asm and uses the same driver. Revise Strg Col Support Asm (28267069) to use 26036497 screw; revise Support &amp; Jacket Asm (38001823) to agree. 
 - Revise the following parts to agree with changes made on Product CN 1080582260 / Plant CN 1080583262 to modify the seat hsg to anti-rotation adapter interface for mis-assembly: Adapter &amp; Jkt Asm (28199246), Brkt &amp; Upper Jkt Asm (38001828), Adapter &amp; Jkt Asm (38001827), Bushing &amp; Jkt Asm (38001825), Strg Col Jkt Asm (38006713), Telebearing &amp; Jkt Asm (38001824), Support &amp; Jkt Asm (38001823).
</t>
  </si>
  <si>
    <t xml:space="preserve">
ECL software spec (34004127) was updated to change lock command wait time on ESCL module and to move watchdog timing to power down. The following parts are being revised to agree with this change: Circuit Card Asm (28264602), ECL Housing Asm (28288146), ECL Asm (28264604), Elec Col Lock &amp; Housing Asm (38000555), and Strg Col TIlt Head Asm (28281207).
</t>
  </si>
  <si>
    <t>47-1, 83</t>
  </si>
  <si>
    <t>NALAZEK
STEWART</t>
  </si>
  <si>
    <t xml:space="preserve">
K2XX has processed a change to the shift lever tow/haul connector and cable to change to Black for appearance reasons. GMT900 and 610 must also change over before transition to K2XX in order to run out stock at the supplier.
</t>
  </si>
  <si>
    <t xml:space="preserve">
Column assemblies(28203874 &amp; 28261971) , 11x17 &amp; spec drawing updated per ECR's 201003128, 201004276, 201005064 and customer EWOs FVVYK, FYXWJ, FZSXV.
ECR 201005445 - SCR to correct material note on 28270873.
ECR 201005167 - SCR to correct draft symbols on 38002170. 
ECR 201004560 - SCR to reduce the push off load of 38001891.
ECR 201003920 - (CR40753) (STG00004214) - Reduce maximum radius on lock sleeve corners.
ECR 201005052 - SCR to revise drawing layouts to match current production datum locations on 28205468 &amp; 28261974.
</t>
  </si>
  <si>
    <t>Ready for Audit 9/17/2013 1:17:32 PM</t>
  </si>
  <si>
    <t xml:space="preserve">
14 K2XX - Revise Tubular Strg Shaft (28201688) drawing to help clean-up stack conditions of where the no back washer will bottom out to the lower bearing inner race Revise to adjust the transition point of the double D flat. Revise volume from 58.36cm(3) to 58.38cm(3).
Update Strg Col Support Brkt (28302312) to increase overall width tolerance &amp; increase back side location tolerance. Volume note revised (60.79cm(3) to 60.69cm(3).
All other affected parts on the Product CN have been superseded by the following Product CNs 79879, 80973, 82128.
</t>
  </si>
  <si>
    <t xml:space="preserve">
2014 K2XX - Increase the tab height on Spacer Clip (38003906) due to the Plastic Group's inability to show capability of spacer clip tab height on 16 cavity tool.. Revise E/A Strap Asm (38004394) to agree with change to Spacer Clip.
The following P/N's have been superseded by subsequent revisions (Product CNs): Strg Col Jkt Asms 28273104 &amp; 28249971 (Prod CN 82128), and Spacer Clip 38003906 (Prod CN 80947).
</t>
  </si>
  <si>
    <t>Ready for Audit 9/17/2013 1:17:33 PM</t>
  </si>
  <si>
    <t xml:space="preserve">
K2XX - Revise Strg Col Hsg (Cast) Support (28203300) to make various dimensional changes. Revise Strg Col Hsg (Mach) Support (28220525) to agree with changes to 28203300 &amp; make various dimensional changes. Revise Strg Col Support Asm (28272676) to agree with changes to 28220525.
The following P/N's have been superseded by subsequent Product CN's: Strg Col Hsg (Cast) Support (28203300) by Product CN 1080580548 &amp; Strg Col Hsg (Mach) Support (28220525) by Product CN 1080580750.
</t>
  </si>
  <si>
    <t xml:space="preserve">
 - GMT-900 (running change)/K2XX/Y1XX - Current wire tie loop is being caught between the knee bolster &amp; the cluster close out during the knee bolster installation. Shorten wire tie loop (wire tie head should be 100 mm from end of wire tie) &amp; excess wire tie should be trimmed off. Arnold Center to rework all new &amp; recycled ARP wire ties. Make change to Wire Harness Strap (26103080) &amp; Anti-Rotation Pin Asm (26077772) to agree with changes to Harness.
 - Update Controller Brkt (28202983) to add basic dimesion 65.089.
 - All other parts affected on this CN have been superseded by subsequent Product CNs.
</t>
  </si>
  <si>
    <t xml:space="preserve">
 - Revise Tubular Shaft Blank (38005899) to change the hardness spec and add torsional ultimate and JAEL requirement to the drawing.
 - Revise Tubular Shaft (28266695) to increase the overall length tolerance, increase angle tolerance, and decrease slot length. Revise Tubular Lower Shaft (28301692) to increase overall length tolerance and angle tolerance.
 - Changes are being made per the request of the Plant 6 M.E.
</t>
  </si>
  <si>
    <t xml:space="preserve">
Revise Upper Shaft (26143769) to remove the Julian date for reprocessing change.
All other affected parts at Plant 68.
</t>
  </si>
  <si>
    <t>JOHNSON
PIWOWARSKI</t>
  </si>
  <si>
    <t>IMP33020693</t>
  </si>
  <si>
    <t xml:space="preserve">
GMT 610 - various component revisons and lock module asm engrg release.
</t>
  </si>
  <si>
    <t xml:space="preserve">
 - Replace T/S &amp; Multifunction Switch Asm 38015853 with 38019865. New MFS will add a pattern fuse to the PCB for SUV. This change does not affect fit, form, or function.
 - Inactivate &amp; replace Shift Lever Seal 38016125 with 26113791. The new seal will have a shorter neck to allow clearance to the clevis finger which interferes with the park position switch.
 - Add grease to the shift lever clevis finger to reduce  / eliminate shift boot wear. Use carryover GMT-900 shift lever seal and 5529 grease (blue grease used on shifter asm).
 - Change from 28146432 to 28284864 screw to mount the telescope actuator to the jacket and support. This will allow the use of the same T-30 driver for driving all four screws. This operation is being moved to an offline bench for increased thru-put and quality. By changing the trunnion mounting screw, it eliminates the need for two separate guns. This change requires a modifiction to Strg Col Hsg (Mach) Support (28202977) because the new screw is longer.
 - Revise Col Asms (38011954, 0716, 17, 3142) &amp; release new Col Asms (38019999, 38020000, 0001) to agree with these changes.
</t>
  </si>
  <si>
    <t>IMP33020739</t>
  </si>
  <si>
    <t>IMP33020744</t>
  </si>
  <si>
    <t xml:space="preserve">
2012 Zeta - upper shaft has a potential wheel connection issue caused by splines not being fully formed.  Add a radius undercut at the end of the spline.
</t>
  </si>
  <si>
    <t xml:space="preserve">
CN 79496 - Toyota shift actuator shaft 26083010, upgrade from T5 heat treat process to T6.
CN 80130 - Release 3 new metal on metal g/s asm's WHICH ARE REPLACING the 3 listed on CN 79496.
</t>
  </si>
  <si>
    <t>Ready for Audit 9/21/2013 9:56:56 AM</t>
  </si>
  <si>
    <t xml:space="preserve">
Lock Module 26089464 Item and PRD were not released on CN 1080579018 with the rest of the components for the 2014MY shaftlock columns.
Transferred P?N 26089464 to Chart 26126532.
</t>
  </si>
  <si>
    <t>Ready for Audit 9/21/2013 9:56:57 AM</t>
  </si>
  <si>
    <t xml:space="preserve">
K2XX - Move supplier to Keystone for Tele-Adjustment Cam (28271779) because current supplier is not able to meet capability requirement on QCI #4. Increase the profile tolerance on the print for Tele-Stationary Cam (28271774) to meet capability. Revise Telescope Lever Asm (28280037) to agree with changes to Tele-Adjustment &amp; Tele-Stationary Cams.
</t>
  </si>
  <si>
    <t>Ready for Audit 9/21/2013 9:56:58 AM</t>
  </si>
  <si>
    <t xml:space="preserve">
Sales release service columns for domestic (38005868) &amp; export (38005869). The service column P/N 38005868 will service current production P/N 28261971, and service column P/N 38005869 will service current production P/N 28203874.
</t>
  </si>
  <si>
    <t xml:space="preserve">
Update service columns 38010446 (Power R&amp;T) and 38010843 (Power R&amp;T w/ CPU) to eliminate Nut Capture Bracket (28219082) and add Label Identification (28314460).
</t>
  </si>
  <si>
    <t xml:space="preserve">
Modify Seat Housing (28199249) by increasing the height of the second post &amp; machining the groove in the Anti-Rotation Adapter (28199248) deeper to match. Modify housing seat tool to make both posts 6 mm deep. This is to reduce/eliminate potential for misassembly. Revise Anti-rotation Asm (28199247) to agree.
</t>
  </si>
  <si>
    <t xml:space="preserve">
Revise Inner Bushing (28197848) to add crush ribs to either side of the stop tabs &amp; increase the overall diameter of the existing crush ribs. Modify production tool. The modified prototype tool showed a significant improvement in column stiffness.
</t>
  </si>
  <si>
    <t xml:space="preserve">
Release Spring Plunger (38022703) to replace 28289494. Thie new plunger will have a slot at the end of the plunger &amp; a new material for the adhesive patch. Also, remove adhesive patch spec from drawing &amp; replace with SAMA. Revise Spring Plunger &amp; Shaft Asms (28209495, 38000344) to use the new Spring Plunger. Revise the following parts to agree with the above changes: Tubular Shaft Asms (28266704, 28301697), Overmold Shaft Asm (28304929), Upper (Req't) Shaft Asm (28304932), &amp; Inter Strg (Upper) Shaft Asm (28304935).
</t>
  </si>
  <si>
    <t xml:space="preserve">
 - Revise Label Identification (38007574) to change the adhesive type to improve adhesiveness. This is to address issues of labels not sticking to parts.
 - Revise Strg Col Hsg (Cast) Support (28203300) to relocate Datum X1 to address issues with slag. Move Datum X1 and revise machine fixtures. Revise Strg Col Hsg (Mach) Support (28220525) to add/revise basic dimensions and remove Datum B from parallelsism control frame (Detail D).
</t>
  </si>
  <si>
    <t>44, 35</t>
  </si>
  <si>
    <t xml:space="preserve">
Revise Rake &amp; Tele Lever Asms (28276693 &amp; 28223053), release Col Asms (38020644, 45, 46, 47, 48, 49, 50, 51, 52, 53), and inactivate &amp; replace superseded col asms (see below) to agree with Rake Guide Asm over mold change made on Product CN 1080582411 / Plant CN 1080583209. Inactivate &amp; Replace -- superseded P/N (replaced by P/N) -- the following Col Asms: 28231297 (38014883), 28287895 (38014394), 28276700 (38007860), 38007860 (38013181), 38013181 (38014392), 38014392 (38014918), 28276702 (38007861), 38007861 (38013182), 38013182 (38014393), 38014393 (38014919), 28254069 (38007850), 38007850 (38008156), 38008156 (38013177), 38013177 (38014388), 38014388 (38014914), 28254070 (38007854), 38007854 (38008157), 38008157 (38013178), 38013178 (38014389), 38014389 (38014915), 28254067 (38007858), 38007858 (38008158), 38008158 (38013179), 38013179 (38014390), 38014390 (38014916), 28254068 (38007859), 38007859 (38008159), 38008159 (38013180), 38013180 (38014391), 38014391 (38014917)
</t>
  </si>
  <si>
    <t>IMP33020749</t>
  </si>
  <si>
    <t xml:space="preserve">
Engineering release Oval Head Screw (38006375) to replace current screw 26086318. The new screw will have a dog point lead-in to avoid cross threading and improve FTQ when attaching the shift lever. This change will be made across all K2XX strg cols with a column shifter.
</t>
  </si>
  <si>
    <t>IMP33020750</t>
  </si>
  <si>
    <t xml:space="preserve">
Obsolete components in Tracker #178. All the components are inactive in the last 5 years. We do no have an open P.O. for any of these, and they are 15 years out of production. Specific tools associated with these components will be obsoleted at well. This is at the request of Plant 6 to free floor space.
</t>
  </si>
  <si>
    <t>IMP33020751</t>
  </si>
  <si>
    <t xml:space="preserve">
Revise EPL Solenoid Asm (28296531) to add brass sleeve and induction harden armature. Also, update print to show new spec number.
</t>
  </si>
  <si>
    <t>Alpha (+)</t>
  </si>
  <si>
    <t>K2XX Man / Pwr</t>
  </si>
  <si>
    <t xml:space="preserve">
Revise Power T&amp;T Controller Asm (28301821), CPM, to merge software calibration for number of minimum hall edges. Reduce number of min. hall edges for Y1XX required by CPM due to tilt actuator travel being reduced and increase number of min. hall edges for all other platforms tilt/rake and tele axis due to minor stack calibration adjustment. Revise Module Asm (Power T&amp;T) Blank (38013597) to agree with changes to 28301821. Current production Module Asm Blank (28139889) will be obsoleted and replaced by 38013597. Revise Power T&amp;T Module Asms (28300875 (K2 Pwr), 38002442 (Y1XX), 38007782 (Alpha+ pwr), 38013091 (XTS, E18, 352, D1BL)) to agree with 38013597 and replacement of 28139889.
</t>
  </si>
  <si>
    <t xml:space="preserve">
INTIAL RELEASE OF THE 2014 K2XX PROGRAM. RELEASE ALL STRG COLUMNS/ I-SHAFTS AND RELATED NEW SUB ASSEMBLIES AND COMPONENTS. THIS WILL INCLUDE ALL MANUAL TILT, MANUAL TILT AND TELESCOPE, AND POWER TILT AND TELESCOPE COLUMN ASSEMBLIES ALONG WITH THE UPPER I-SHAFT WHICH IS SHIPPED AS PART OF THE COLUMN ASSEMBLY 
</t>
  </si>
  <si>
    <t xml:space="preserve">
Revise housing depth for anti-rotation pin on Strg Col Tilt (Mach) Housings (28305402, 28202977). Increase the A/R pin machined hold depth to allow A/R pin to be flush with the lower shroud during column to vehicle installation. The customer requirement is that the A/R pin sits flush or below the lower shroud surface. Change tooling and/or machine settings to machine hold deeper in Plant 6. 
The following P/Ns have been superseded: Strg Col Tilt (Cast) Housings (28305401, 28206461) by Product CN 1080581960
</t>
  </si>
  <si>
    <t xml:space="preserve">
* Dept 35/83 - Release T/S &amp; Multifunc Switch Asms to change graphics and make slight angle change. New MFS Asms will replace current P/N's (38015855 replaces 38000532, 38015853 replaces 38000531)
* Dept 35/83 - Release SIR Coil Asms &amp; Dual Stage SIR Coil Asms to make changes to the uplead to make the (2) SIR upleads go into one tube of sheathing &amp; to shorten the uplead on the headed wheel uplead. New P/N's will replace current ones (38015847 repl. 38000527, 38015850 repl. 38000528, 38015851 repl. 38000529, 38015848 repl. 38000530). Remove duplicate heated wheel fuse in SIR Coil for heated wheel. Change affects Dual Stage SIR Coil Asm (38015851) &amp; SIR Coil Asm (38015848).
* Dept 32-4 - Revise Lower Solid Shaft (26124137) to revise note #1 from 28285150 to 26124136 Blank, Lower Solid (Mach)
***Changes to all other P/N's have been superseded by subsequent Product CN's.
</t>
  </si>
  <si>
    <t xml:space="preserve">
Initial release of R&amp;T and Rake columns and components. This CN is releasing Columns, Jackets, Shafts, and purchased parts. Please see the Product CN or the reference documents attached to this CN under Supporting Documents for a complete list of part numbers affected.
</t>
  </si>
  <si>
    <t xml:space="preserve">
Revise Identification Labels (38011290, 1291, 1292) to modify note.
Revise Upper Strg Shaft Asm (28218806) to modify note for torque requirements to rock yokes.
All other part numbers affected on the Product CN have been superseded by subsequent Product CN's.
</t>
  </si>
  <si>
    <t xml:space="preserve">
Sale release (4) service steering columns (38005713, 5715, 5717, 5718) - standard column with &amp; without sensor and tilt column with &amp; without sensor. Columns don't include SIR Coil, switches, shrouds, linear shifters, I-Shafts, wire harnesses, BTSI, etc. (all are available for service). Service columns will affect the following current production columns: 38003341, 4832, 4833, 4834, 4835, 4836.
</t>
  </si>
  <si>
    <t xml:space="preserve">
Increase the depth of E.P. groove on Lower Shafts (28238685, 28226895, 28219077) from 0.25 (radially) to 0.5 mm. At 0.25 the grooves are inadequate for the vision system to accurately differentiate shaft lines. The increase will allow the shaft lines to be accurately differentiated at the lock sleeve press. Revise upstream Shafts, Jackets, and Columns to agree with this change.
</t>
  </si>
  <si>
    <t xml:space="preserve">
Customer request to strengthen rake guide asms. Current material is fracturing during 'extreme' telescope IN impacts which results in ratcheting when raking up/down. Change overmold material from PA66-GF33 to PA66-IGF33 to strengthen the rake guide ribs. This change is to address complaints of broken rake guides (overmold rib) in GM asm plants. This affects Rake (LH) Guide Asm (28233822) &amp; Rake (RH) Guide Asm (28263817). Changes to upstream components will be done on Product CN 1080582556 / Plant CN 1080583239.
</t>
  </si>
  <si>
    <t xml:space="preserve">
Revise E/A Straps (28277944, 28280068) to change note to "part to be free from debris." Prior to change, the note said the part should be free from excess oil, but oil is not applied. Parts now go through Air Knife at supplier to remove debris. Revise 28277944 ONLY to change E/A req't from 3450 N to 3800 N for initial peak load for the first 15 mm of displacement.
</t>
  </si>
  <si>
    <t xml:space="preserve">
 - Revise Strap &amp; Retainer Asm (28286428) to agree with E/A Strap (28277944) and Upper &amp; Lower Jkt Asms (38001716 &amp; 38010412) to agree with 28286428. This is all to agree with changes made to the E/A Strap on Product CN 1080582349 / Plant CN 1080583225.
 - Revise Lower Jacket (28233830) &amp; Lower (Cast) Jacket (38003840) to remove QCI #4 for ECL mounting hole diameter because supplier never quoted the QCI &amp; there are measures on the supplier control plan to check size &amp; location. Revise Lower (ECL) Jacket Asm (38001023) to agree.
 - Revise Upper &amp; Lower Jacket Asm (38010447) to agree with changes to 28286428 &amp; 38003840.
</t>
  </si>
  <si>
    <t xml:space="preserve">
Revise Strg Col Shaft Asms (28238682, 28266351, 38009782) to agree with changes made to Upper Shaft (28219078) on Product CN 1080581220 / Plant CN 1080581499 to modify the treatment of the undercut detail for reduction of scrap and capacity improvements. Revise Bearing &amp; Shaft Asms (28238664, 38015817, 5821) to agree with Strg Col Shaft Asms; revise Shaft &amp; Jkt Asms (38001713, 38015816, 5820) to agree with Brg &amp; Shaft Asms; revise Strap Lock &amp; Jkt Asms (38001817, 38015815, 5819) to agree with Shaft &amp; Jkt Asms.
</t>
  </si>
  <si>
    <t xml:space="preserve">
Revise Column Telescope Bracket (28266572) to add (3) holes to the base of the part for locating in the fixture. These changes will allow for additional consistency in machining and measurement correlation.
</t>
  </si>
  <si>
    <t>Ready for Audit 9/26/2013 11:16:27 AM</t>
  </si>
  <si>
    <t>IMP33020861</t>
  </si>
  <si>
    <t>IMP33020862</t>
  </si>
  <si>
    <t>Ready for Audit 9/30/2013 7:00:45 AM</t>
  </si>
  <si>
    <t xml:space="preserve">
Revise Motor Harness (28267462) to add quality check mark to the side where the wires exit the housing. This is a Nexteer requested change because the previous location of the quality check mark was causing issues with the robotic vision system. Changes to ECL Asm (28264604), ECL Housing Asm (28288146), and Circuit Card Asm (28264602) have been superseded by Product CN 82846 / Plant CN 83601.
</t>
  </si>
  <si>
    <t xml:space="preserve">
Revise Lower Closeout Shrouds (28313296, 38000948) to increase the snap tab window so the tab can properly engage when the shrouds are attached to the strg col and add a rib for molding improvements.
</t>
  </si>
  <si>
    <t xml:space="preserve">
Initial release/ Update of two parts on initial release. (38015810 Shift Asm Linear, 38015809 Clevis, Shift Lever).
</t>
  </si>
  <si>
    <t>Ready for Audit 10/2/2013 7:47:17 AM</t>
  </si>
  <si>
    <t xml:space="preserve">
Update Lower Strg Shaft Asm (28304432) for counter bore on yoke and larger DD &amp; wider slot.  
Proposed Solution:  
</t>
  </si>
  <si>
    <t xml:space="preserve">
ECR 201005807- Alpha Plus LF3- Revise tabs- Change the 4 tab solid shaft design to be common with the previous GMT800 design. ( P/N 28305248)
</t>
  </si>
  <si>
    <t>Ready for Audit 10/3/2013 11:26:58 AM</t>
  </si>
  <si>
    <t>Ready for Audit 10/4/2013 11:53:24 AM</t>
  </si>
  <si>
    <t xml:space="preserve">
Inactivate Shaft Asm, Inter Strg 26113770 and replace with 26136437. No cost request was necessary because both P/N's are saleable. Both P/N's have identical dimensions; the only differenece is the process to make the tubular shaft. Service Col Asms affected by this change: 26145957, 26132676, 26103765, 26140645 (inactive).
</t>
  </si>
  <si>
    <t>IMP33021047</t>
  </si>
  <si>
    <t>IMP33021049</t>
  </si>
  <si>
    <t>IMP33021050</t>
  </si>
  <si>
    <t>IMP33021053</t>
  </si>
  <si>
    <t xml:space="preserve">
Ford P552 - Engrg release Jacket, Lower 28307958 at rev 005.
</t>
  </si>
  <si>
    <t xml:space="preserve">
 - Product CN 82266 / Plant CN 83090 reduced the clearance between E/A Retainer &amp; the Lower Jacket. This CN will make appropriate changes to higher level asms the E/A Retainer is used in. 
 - Revise the following parts to agree with the change: Upper &amp; Lower Jkt Asms (38001716, 38010412, 0447), Shaft &amp; Jkt Asms (38001713, 38015816, 5820), Strap Lock &amp; Jkt Asms (38001817, 38015815, 5819). 
 - Release the following new Col Asms (replaces): 38019361 (38020644), 38019362 (38020645), 38019363 (38020646) -- Cols w/ I-Shaft (replaces): 38019355 (38020647), 38019356 (38020648), 38019357 (38020649), 38019358 (38020650), 38019359 (38020651), 38019367 (38020653), 38019368 (38020652). Cannot inactivate "replaced" p/n's since they will continue to be ordered/shipped until stock of old retainer is exhausted.
 - Inactivate/Obsolete the following Col Asms (replaced by): 28315879 (38020653), 38014914 (38020648), 38014394 (38020647), 38014918 (38020645), 38014919 (38020646), 38014915 (38020649), 38014916 (38020650), 38014917 (38020651), 38014883 (38020644), 28315880 (38020652)
</t>
  </si>
  <si>
    <t xml:space="preserve">
Change overmold material from PBT to PA46 and remove grease on Yoke &amp; Inter Strg Shaft Asms (26115896, 26136702, 6704, 6707) to address "stick-slip" issue. Revise I-Shaft Asm (26116522) to agree with changes.
</t>
  </si>
  <si>
    <t>42, 43</t>
  </si>
  <si>
    <t xml:space="preserve">
Revise Shift Lever Gate (38003149) to change "Low" detent gate angle. Revise Linear Shift Asm (38015810) to agree.
</t>
  </si>
  <si>
    <t xml:space="preserve">
Obsolete components in Tracker #178. All the components are inactive in the last 5 years. We do no have an open P.O. for any of these, and they are 15 years out of production. Specific tools associated with these components will be obsoleted at well. This is at the request of Plant 6 to free floor space. See CN for specific P/N's affected.
</t>
  </si>
  <si>
    <t>KOSS</t>
  </si>
  <si>
    <t>Alpha, Alpha+, X352</t>
  </si>
  <si>
    <t>Ready for Audit 10/10/2013 11:49:45 AM</t>
  </si>
  <si>
    <t>Ready for Audit 10/10/2013 11:49:46 AM</t>
  </si>
  <si>
    <t xml:space="preserve">
Add steering column lock feature to 2014 GMT-610 columns.
Engineering release Mando directed-buy Shaft Asm, Inter Steering (38015923) with several error proofing strategies including a deeper whistle notch &amp; removal of additional splines. Nexteer doesn ot interface with this portion of the I-Shaft.
Eng. release the following columns asms: 38015908, 5909, 5910, 5911, 5913, 5914, 5916, 5917, 5918, 5920, 5921, 5922.
</t>
  </si>
  <si>
    <t xml:space="preserve">
 - Commonize Anti-Rotation Brkt Screw with Seat Housing Screw in jacket sub-asm cell to eliminate potential for mix. Use 26036497 screw in place of the 26014529 screw for the attachment of the A/R brkt to the support. Update Support, Strg Col Hsg (Cast) (28206461) to make holes for the mounting screw deeper for clearance.
 - Revise Cap, Ball Joint (26053827) to change wall thickness, change overall length, and remove material note. This is used on K2XX &amp; Holden shifter asms.
 - Revise Housing, Strg Col Tilt (Cast) (28305401) to add material at the tilt actuator mounting area to ensure a minimum amount of material is getting machined at Plant 6.
</t>
  </si>
  <si>
    <t xml:space="preserve">
Replace Bumper, Down (Salvage) 7845481 with 7845483 due to availability. Both components were made by Blue Water Automotive Sys. Inc. which is now out of business and tooling is not available anymore. The 7845481 is out of stock and 7845483 has 13,000 in stock.
Update Support Asm, Strg Col Hsg (26043998) and Col Asm, E/A Strg (Tilt) (26043628) to agree with change.
</t>
  </si>
  <si>
    <t xml:space="preserve">
Add broadcast code to the steering column label. Update Label, Identification (38007574) to add 7 mm high 4-digit BCC next to the middle 3D bar code. Revise column asms to agree with change (see Affected Documents on Product CN for P/N's).
</t>
  </si>
  <si>
    <t>Ready for Audit 10/10/2013 11:49:48 AM</t>
  </si>
  <si>
    <t xml:space="preserve">
Revise Nylon Insert Flange Nut (26091493) drawing to update DX spec. This did cause a rev. bump to part. PPAP approval req'd date 9/13/13.
</t>
  </si>
  <si>
    <t xml:space="preserve">
Revise Dash Seal Asm (28280694) to change the plastic insert that attaches to the pedal box from black to natural , so that the clips can be visible against the black pedal box. The supplier has also indicated that the previous revision made on Product CN 1080582842 to change the material from 35% GF to 15% GF has a cost impact.
</t>
  </si>
  <si>
    <t xml:space="preserve">
ECR 201005758- 31xx/Alpha/Alpha+/X352/ XTS/E18/X352/ALPHA+/D1BL PWR/Holden- replace 28281369 purchase for upper jacket blanks to 38016606 for improved wall thickness control as requested by the ME's for improved processing on the upper jacket forming/punching machines.
</t>
  </si>
  <si>
    <t>Ready for Audit 10/17/2013 10:54:33 AM</t>
  </si>
  <si>
    <t>Ready for Audit 10/17/2013 10:54:34 AM</t>
  </si>
  <si>
    <t>IMP33021336</t>
  </si>
  <si>
    <t>Ready for Audit 10/18/2013 3:45:56 PM</t>
  </si>
  <si>
    <t>Ready for Audit 10/18/2013 3:45:57 PM</t>
  </si>
  <si>
    <t xml:space="preserve">
 - Directed-buy ESCL change driving a new p/n change and revsision to col asm. Engineering release Electric Column Lock (38022713) which will replace current ECL (28307024). Deplete all remaining stock before switching to new part number. Revise Power T&amp;T Column Asm (28261971) to agree.
 - Revise Actuator attachment screw torque from 18-20 Nm to 14-16 Nm to prevent excessive retention and high break loose torques. These high torques were occasionally sufficient to damage the internal casting threads.
</t>
  </si>
  <si>
    <t>90</t>
  </si>
  <si>
    <t>GALLIHUGH</t>
  </si>
  <si>
    <t>IMP33021337</t>
  </si>
  <si>
    <t>IMP33021338</t>
  </si>
  <si>
    <t>IMP33021339</t>
  </si>
  <si>
    <t xml:space="preserve">
 - Open up print req'ts for the stroke load range on jkt &amp; brkt asms for XTS/X352/E18/Alpha(+)/D1BL power rake &amp; tele cols. Change from 90 N max to 110 N max.
 - Change telescope bushing grease on XTS/E18/Alpha+/X352 power cols from Nye 866 (26106043) to Nye 774 (33017920) to alleviate stick/slip &amp; noise concerns.
 - Revise ECL Mtg Adptr (28226526) to reduce the cross-car width of the adptr bosses to increase pre-injection col stroke load. This is to improve set-up time &amp; reduce scrap at Plant 6 by commonizing telescope guide load contribution between the ECL &amp; non-ECL equipped cols. Revise Bushing &amp; ECL Adptr Asm (38001046) &amp; ECL &amp; Brg Adptr Asm (28235101) to agree. 
 - Revise Jacket &amp; Bracket Asms (28219123 &amp; 28235094) to agree with all of the above changes.
 - Revise Col Asms w/ I-Shaft (38008772, 8774) to agree with grease change &amp; col position change.
 - Engineering release the following Column Asms: 38021506, 07, 08, 10, 11, 12 -- Cols w/ I-Shaft: 38021499, 1500, 01, 02, 03, 04, 05
</t>
  </si>
  <si>
    <t xml:space="preserve">
Revise axial location &amp; length of radial orientation mark of the lower shafts (28219077, 28226895) on all XTS/Alpha family. Request is to change pirnts to match parts. This does drive a revision change to the parts. Revise the following parts to agree with the change to lower shafts: Lower Overmold Shaft (28220706), Lower Shaft Asm (28267797), Strg Col Shaft Asm (28220703), Lwr Overmold Shaft Asm (28235100), Bearing &amp; Shaft Asm (28220695), Shaft &amp; Jkt Asm (28219239), Strg Shaft Asm (28239051), Bearing &amp; Shaft Asm (28235096), and Shaft &amp; (ECL) Jkt Asm (28235095). Bearing &amp; Shaft Asm (28235096) is also being revised to agree with changeds made to ECL Mtg Adapter to change cross-car width which will be covered on Plant CN 83832.
</t>
  </si>
  <si>
    <t xml:space="preserve">
 - Engineering release SIR Coil Asms (38022186, 87) &amp; Dual Stage SIR Coil Asms (38022188, 89). New Coil Asms will lengthen the protective sheathing &amp; remove the spot tape. These will replace current SIR Coil Asm p/n's.
 - Engineering release Col Asm P/N's: 38019798, 99, 9801, 9802 and revise 38012152, 38017902, 03, 05, 07, 08, 10, 11, 13, 14, 16, 17, 19, 20, 22, 23, 25, 26 to use new p/n's for Coil Asms, Switch Asms (change made on Plant CN 83621), and Wiring Asms (change made on Plant CN 82950).
 - Engineering release Col Asm P/N's 38019795, 96, 38021273, 75, 80, 81, 83, 84, 86, 87 to use new Coil Asms, Switch Asms (change made on Plant CN 83621) and Wiring Asms (change made on Plant CN 82950)
</t>
  </si>
  <si>
    <t>HATFIELD
GALLIHUGH</t>
  </si>
  <si>
    <t>XTS/E18</t>
  </si>
  <si>
    <t>IMP33021363</t>
  </si>
  <si>
    <t xml:space="preserve">
Revise Lower Shaft (26141908) to modify the ARP hole to reduce scrap in Plant 6. Re-implement Nylon 12 for overmold plastic material on Ford Lower Shaft Asm. Engineering release Lower Shaft Asm (38021661) which will replace 38013699 and Steering Column Asm (38021662) which will replace 38013845 to agree with changes.
</t>
  </si>
  <si>
    <t>IMP33021542</t>
  </si>
  <si>
    <t>IMP33021550</t>
  </si>
  <si>
    <t>IMP33021587</t>
  </si>
  <si>
    <t>IMP33021591</t>
  </si>
  <si>
    <t>IMP33021610</t>
  </si>
  <si>
    <t xml:space="preserve">
To sale release concentric isolator I-Shaft with a 10 tooth spline slip joint P/N 28227559. This I-Shaft assembly (P/N 28227559) will replace the 26019917 that was manufactured at "Means Industries, Inc". The I-Shaft slip joint is changing from a double "D" design with a preload spring to a 10 tooth design with overmold. After the I-Shaft is sale released, the EP # 72370, reissues were 72217, 72076, 71928. will be closed.
</t>
  </si>
  <si>
    <t xml:space="preserve">
Add 'tap up / tap down' feature to GMX-211 steering column asms. Update service kit for SIR Coil to include new function. SIR Coil (28201566 - service kit 28240622) will replace the old model SIR Coil (26134589 - service kit 26142738). Update Col Asms to agree with change. 
</t>
  </si>
  <si>
    <t>Ready for Audit 10/31/2013 12:15:20 PM</t>
  </si>
  <si>
    <t>Ready for Audit 10/31/2013 12:15:21 PM</t>
  </si>
  <si>
    <t xml:space="preserve">
Update prints for Upper Shaft Blanks (26139091, 26143768, 28281172, 38000293) to match parts as made on the production equipment. All affected dimensions are in-process dimensions and do not carry forward to finished parts. Change does cause revision bump to affected parts.
</t>
  </si>
  <si>
    <t xml:space="preserve">
Update shaft drawings per ME request. Revise Upper Shaft (38000292) to correct ARP hole to (2) places, Upper &amp; Lower Shaft Asm (38011904) slip load test speed from 400 mm/sec to 20 mm/sec to reflect machine cycle time, Lower Shaft (38010503) to change pinch bolt notch tolerance depth. Revise Upper Shaft Asm (38000291) to agree with 38000292 and Lower Overmold Shaft (38010504) to agree with 38010503. Revise Strg Col Shaft Asm (38010505) to agree with 38011904 and change Lwr Adptr Brg Asm (change made on Plant CN 1080583157).
</t>
  </si>
  <si>
    <t xml:space="preserve">
Revise Column Asms (26089761, 26091846) to replace I-Shaft Asm 26057715 with 26145252 due to the supplier, Means Industries, Inc., closing.
</t>
  </si>
  <si>
    <t xml:space="preserve">
 - Revise Lwr Jkt Asm (38011294) and Strap &amp; Retainer Asm (28280071) to agree w/ changes made on Plant CN's 83243 &amp; 83090, respectively. Revise Upper &amp; Lwr Jkt Asm (28314227) to agree w/ this and changes made on Plant CN 81283. Revise Shaft &amp; Jkt Asm (28308570) to agree w/ changes to U&amp;L Jkt Asm.
 - Revise Strap &amp; Retainer Asm (28286428) to agree w/ changes made on Plant CN 83225. Revise U/L Jkt Asm (38017810) to agree w/ this and changes made on Plant CN 81283. Revise Shaft &amp; Jkt Asm (38017809) to agree w/ U/L Jkt Asm.
 - Revise Strg Col Shaft Asm (28308576) to agree w/ changes made on Plant CN 82979. Revise Brg &amp; Shaft Asm (28308579) to agree w/ Shaft Asm. Revise U/L Jkt Asm (38017813) to agree w/ Strap &amp; Ret Asm (28280071) &amp; changes made on Plant CN 81283. Revise Shaft &amp; Jkt Asm (38017812) to agree w/ changes to U/L Jkt Asm and Brg &amp; Shaft Asm.
</t>
  </si>
  <si>
    <t xml:space="preserve">
 - Revise Inter Strg Shafts ( 26139616 &amp; 38001797) to ensure that the correct serration length is achieved.
 - Revise Lower Overmold Shaft Asms (28227958, 28284301, 38001449) to revise the nominal shaft dimension to match the diameter for the overmold process req't.
 - Obsolete without replacement Tubular Lower Shaft Blank (26140294) and transfer notes to Tubular Shaft (26143541) to make material notes common w/ Holden &amp; Zeta tubular shafts.
</t>
  </si>
  <si>
    <t xml:space="preserve">
Engineering release I-Shaft Asms LHD (38020611) and RHD (38020612) to agree with FOD Seal changes (natural to black insert color) on Prod CN 83352 / Plant CN 83516 and I-Shaft component drawing udpates for the Tubular (nominal shaft dim.) and Solid (serration length) shafts on Prod CN 82401 / Plant CN 83898.
</t>
  </si>
  <si>
    <t xml:space="preserve">
Revise Support Mounting Adapter (28271763) to change feature from a straight hole to a hole with a flat one one side to increase width of material on top of the flange &amp; prevent bending during dynamic ram test. Revise Telescoping (weld) Tube Asm (28272667) to make dimensional changes &amp; agree with changes to 28271763. Tevise Tele (Mach) Tube Asm (28275509) to agree with 28272667. Revise Telescoping (Grind) Tube Asm (28271767) to agree with 28275509. Revise Tele Tube &amp; Support Asm (38012940) to agree with 28271767.
</t>
  </si>
  <si>
    <t>Ready for Audit 11/1/2013 11:14:54 AM</t>
  </si>
  <si>
    <t>IMP33021679</t>
  </si>
  <si>
    <t>IMP33021685</t>
  </si>
  <si>
    <t xml:space="preserve">
Revise Switch Mounting Bracket (26086181) to add a window for visual access to the upper bearing seat. This will allow Plant 6 to add a camera to the tilt head asm machine which will verify the height of the seat &amp; ensure the race is present.
</t>
  </si>
  <si>
    <t>IMP33021736</t>
  </si>
  <si>
    <t xml:space="preserve">
 - Revise Insert Nut (38018632) to change major diameter and add ribs in hex in line with locking lugs.
 - Revise Tilt Nut Trunnion (28302311) to change dimensions for lead-in chamfer.
 - Revise Jackscrew Nut Asm (38012534) to agree with 28302311 &amp; 38018632 and change torque requirements.
 - Revise Sleeve Bushing (38017194) to modify internal chamfer to match supplier. Revise Lockscrew Housing Asms (28283824, 38018162) and Lockscrew Housings (28255681, 28167884) to agree.
 - Revise Jackscrew Nut (28293268) to add specific zones with diameters to print to help improve supplier manufacturability. Revise Actuator Asms (28144321, 28204882, 38006342, 28313386, 28313385) to agree.
</t>
  </si>
  <si>
    <t>35, 83, 90, Euclid</t>
  </si>
  <si>
    <t>IMP33021784</t>
  </si>
  <si>
    <t>IMP33021785</t>
  </si>
  <si>
    <t>IMP33021792</t>
  </si>
  <si>
    <t>IMP33021798</t>
  </si>
  <si>
    <t>IMP33021799</t>
  </si>
  <si>
    <t>IMP33021800</t>
  </si>
  <si>
    <t>IMP33021801</t>
  </si>
  <si>
    <t>IMP33021803</t>
  </si>
  <si>
    <t xml:space="preserve">
 - Engineering release Lower Steering Shaft Spacer (38020865) to replace 38019189. The new spacer will be more robust and less susceptible to damage during handling and installation by extending the tab to crease a bridge feature.
 - Also release / revise K2XX I-Shaft installation &amp; handling specifications (26107570, 26136042, 34004206).
 - New I-Shaft Asm release on Prod CN 83456 / Plant CN 83959.
</t>
  </si>
  <si>
    <t>35, 43, 83</t>
  </si>
  <si>
    <t xml:space="preserve">
 - Engineering release I-Shaft Asm (38020866) to replace 38019190. The new I-Shaft Asm will use the new, more robust E.P. Spacer (38020865) that was release on Product CN 82872 / Plant CN 83958.
 - All other affected parts are made at Plant 68.
</t>
  </si>
  <si>
    <t xml:space="preserve">
 - This CN is to correct the revision levels on I-Shaft Asms (28305262 &amp; 28314619) that were missed on Product CN 81440 (I-shaft chart was revised) &amp; Product CN 80730 / Plant CN 80647 to agree with Gear Clamp Yoke geometry change.
 - I-Shaft Asm (28314619) has been replaced by 38022641 per Product CN 82980 / Plant CN 83592 for flex coupling boss height change.
</t>
  </si>
  <si>
    <t xml:space="preserve">
Release new Steering Shaft Bearing Retainer (38021963) that features a large O.D. to provide retention loads above 4 kN. This will replace retainer 26133861 and will only be applied to GM applications currently using 26133861.
</t>
  </si>
  <si>
    <t xml:space="preserve">
 - Revise Upper Shaft (38005889) to increase the spline length increase the diameter of the shaft not machined, reduce zone X basic dimension, and increase the length of the machined clutch lock area towards the wheel. Upper Shaft will also use new blank with modified length. These changes are at the request of the Plant ME.
 - Engineering release Upper Shaft Blank (38021755) to replace 38005755 used on 38005889.
 - Revise Upper Shaft Asm (38005897) and Strg Col Shaft Asm (38006002) to agree with changes.
</t>
  </si>
  <si>
    <t xml:space="preserve">
Update print for Directed Buy I-Shaft Asm (38015923) from Mando to agree with changes made on Product CN 81492 / Plant CN 82814 to increase error proofing. This did create at revision bump to the I-Shaft Asm from 001 to 003.
</t>
  </si>
  <si>
    <t xml:space="preserve">
Revise Directed Buy I-Shaft Asm (38006920) to change isolator torsional rate as part of ride and handling tuning. Col Asms affected on this CN have been superseded by Product CN 83114.
</t>
  </si>
  <si>
    <t xml:space="preserve">
Revise Shift Tube Blanks (07812504, 07847150) to modify the manufacturing process to a drawn over mandrel product. This will be an optional material and will be "Welded Drawn Over Mandrel Steel Tubing per ASTM A513 Grade 1010, Type 5." Doing this will give the tubes better quality and higher strength and allowallow the supplier to produce lower quantities, releiving Nexteer of a need to buy higher volumes.
</t>
  </si>
  <si>
    <t>Holden / Zeta</t>
  </si>
  <si>
    <t>Ford H567</t>
  </si>
  <si>
    <t>Ford CBP</t>
  </si>
  <si>
    <t>K2XX / Y1XX / Ford P552/558</t>
  </si>
  <si>
    <t>Ford P552</t>
  </si>
  <si>
    <t>IMP33021877</t>
  </si>
  <si>
    <t>Ready for Audit 11/14/2013 12:24:57 PM</t>
  </si>
  <si>
    <t xml:space="preserve">
 - Revise Lower Shaft (26141908) to make design changes for improved manufacturing efficiency at Plant 6 by changing the 16-tooth centering feature from female to male. Also, add MMC qualifier to outie feature and I-Shaft flat true position to allow Plant 6 to use attribute gage for these features.
 - Revise Lower Shaft Asm (38021661) to agree with changes to 26141908 and to add dimension &amp; change notes regarding plastic overmold.
 - Revise Steering Col Shaft Asm (38021662) to agree with 38021661.
</t>
  </si>
  <si>
    <t>IMP33021951</t>
  </si>
  <si>
    <t>IMP33021952</t>
  </si>
  <si>
    <t>IMP33021953</t>
  </si>
  <si>
    <t>IMP33021954</t>
  </si>
  <si>
    <t>1080583072 / 1080583424</t>
  </si>
  <si>
    <t xml:space="preserve">
 - Revise Worm Gear Hub (38005700) to add perpendicularity requirement and add Datum C. Revise Worm Gear (HI OP) Molded Asm (38012673), Worm Gear (HI OP) Blank Asm (38006606), &amp; Worm Gear (HI OP) Trimmed Asm (38006607) to agree with changes.
 - This CN will also cover the change made to Trimmed Asm (38006607) on Product CN 83072 to add temperature note for surface temp prior to trimming operation.
</t>
  </si>
  <si>
    <t xml:space="preserve">
Revise Strg Col (Casting) Housing (26146343) to change from sharp corner to a rounded corner to reduce chipped corner at trim press. Revise Strg Column (Tilt) Housing (26082056) to agree with changes.
</t>
  </si>
  <si>
    <t xml:space="preserve">
This CN is to correct the BOMs and spec dwg (34001293) for routing purposes on (4) Col Asms released on previous Product CN 82906 that had incorrect content. The following corrections are being made:
 - Col Asm 38019798, 9799, 9801, 9802 - Revise Coil Asm p/n from 38015850 to 380221488 and revise Wiring Asm from 38007630 to 38020640
 - Col Asms 38019798 &amp; 3801 - Delete p/n for Closeout Shroud (28212782), add p/n for Upper Closeout Shroud (28313300), &amp; add p/n for Lower Closeout Shroud (28313296)
 - Col Asm 38019799 &amp; 9802 - Delete p/n for Closeout Shroud (38003696), add p/n for Upper Closeout Shroud (38000947), &amp; add p/n for Lower Closeout Shroud (38000948)
</t>
  </si>
  <si>
    <t xml:space="preserve">
Strg Column Housing Asm (38022882 - Made at Plant 68) will replace Lock Shoe 26034429 with 38006332 (both made at Plant 6 from Blank 26034427) to address false tilt up position warranty issue. Plant 6 will need to supply the different Lock Shoe to Plant 68. There are no revision changes to any parts made at Plant 6.
</t>
  </si>
  <si>
    <t>IMP33021972</t>
  </si>
  <si>
    <t>IMP33022063</t>
  </si>
  <si>
    <t xml:space="preserve">
Revise print for Lock Cyl Hsg Asm (28238435) to add LMC locator to lock bolt hole locational tolerance.
Changes to A/Trans Trol Lever Asl (38009865) to modify dimension &amp; surface flow to boot groove have been superseded by Product CN 1080582518.
</t>
  </si>
  <si>
    <t>Ready for Audit 11/21/2013 12:00:37 PM</t>
  </si>
  <si>
    <t xml:space="preserve">
 - (D-32-4) Revise Lower Solid Shaft (26124137) to increase the shoulder length for manufacturing improvement.
 - (D-39) Revise Tele (Mach) Tube Asm (28275509) to increase the hole size for the shoulder bolt to get between 75% and 85% thread engagement.
</t>
  </si>
  <si>
    <t xml:space="preserve">
Revise Lock Cyl. Housing Asms (26104113, 15, 16) to substitute Passlock 2.5 sensor with Passlock 2.0+ sensor. Strattec cannot supply the Passlock 2.5 sensor for service applications.
</t>
  </si>
  <si>
    <t>IMP33022199</t>
  </si>
  <si>
    <t>IMP33022268</t>
  </si>
  <si>
    <t xml:space="preserve">
2014 ALPHA+ - This CN will cover ALL part numbers for ALPHA+ columns, shafts, &amp; components from the initial engrg release to the most current rev level status. Process changes are not included; process CN's should be written by the engineer.
</t>
  </si>
  <si>
    <t>Ready for Audit 11/24/2013 2:09:14 PM</t>
  </si>
  <si>
    <t xml:space="preserve">
 - Lower Shafts (28284717, 28308578) revised to add dimensions and views. Upper Shaft (28219078) was revised on Product CN 81220 / Plant CN 81499 to modify the treatment of the undercut to reduce scrap and improve capacity. Revise the following part numbers to agree with these changes: Strg Col Shaft Asms (28284704, 28308581, 28308576), Upper Shaft Asm (28266384), Lower Shaft Asm (28284702), Lower Overmold Shafts (28284715, 28308577), Shaft &amp; Jacket Asm (28308570), Brg &amp; Shaft Asms (28284706, 28308582, 28308579).
 - Engineering release the following parts to use non-ECL Lower Jacket (38000757): Upper &amp; Lower Jacket Asms (38017810, 7813). Engineering release Shaft &amp; Jacket Asms (38017809, 7812) to use new Upper &amp; Lower Jacket Asms.
 - Revise Slip Shaft Seal (28149035) to add optional construction and change general note.
</t>
  </si>
  <si>
    <t xml:space="preserve">
Revise MTO Spool Shaft Cover (38013678) (shark fin) to match design changes made to the detent locking feature on the base 684 design.
</t>
  </si>
  <si>
    <t xml:space="preserve">
 - Revise various dimensions on the following parts per the request of Plant 6: Inter Strg Shafts (28304923, 5248, 28171749, 28252723, 4843, 28289491, 28314572).
 - Revise the following parts to agree with the dimensional changes to above shafts: Tubular Shaft Asms (28301697, 28266704), Inter Strg (Painted) Shaft (28172324, 28256154, 28289493, 28304927), Overmold Shaft Asm (28172344, 28257231, 28304929, 5249), Upper Shaft Asm (Req't) (28304932), Inter Strg Shaft Torsion Asm (28305251), Strg (Painted) Coupling Asm (28172419, 28314618), Solid Shaft &amp; Flange Asm (28243515), Flange &amp; Coupling Asm (28252953, 28314616), Strg Coupling Asm (28252956), Inter Strg Shaft Asm Req't (28255873, 5911, 28305259, 28314617), Spring Plunger &amp; Shaft Asm (28289495, 38000344), Flange &amp; Shaft Asm (28314574), Shaft &amp; Coupling Asm (28314578), Overmold (Painted) Shaft Asm (38002173), Boot &amp; Inter Strg Inter Strg Shaft Asm (38012216, 2217).
</t>
  </si>
  <si>
    <t>42, 43, 60, 62, Out</t>
  </si>
  <si>
    <t>GM MTO</t>
  </si>
  <si>
    <t>IMP33022304</t>
  </si>
  <si>
    <t>IMP33022310</t>
  </si>
  <si>
    <t>IMP33022326</t>
  </si>
  <si>
    <t>IMP33022342</t>
  </si>
  <si>
    <t xml:space="preserve">
Initial release of Tubular Shaft Blank (38014053) for SGMW CN200 program at Plant 53 (Suzhou, China).
</t>
  </si>
  <si>
    <t xml:space="preserve">
 - Revise Manual R&amp;T Col Asm (38008803) &amp; Manual Rake Col Asm (38008832) to make the following changes: 1) was Shaft &amp; Jacket Asm (38008804), was Shaft &amp; Jacket Asm (38008833), agree w/ Col Mtg Brkt (38008846). Changes made on Plant CN 1080583157; 2) agree w/ Bolt Retainer and Rake &amp; Tele Lever Asm. Changes made on Plant CN 1080583158; 3) add reference to col asm performance requirements that Plt 6 will not inspect due to compliance being demonstrated in validation.
 - Revise Inter Shaft &amp; Column Asms (38011906, 1912), Rake &amp; Tele Col Serv Asms (38013067, 3068), Inter Shaft &amp; (R&amp;T) Col Asm (38008802), and Inter Shaft &amp; (Rake) Col Asm (38008802) to agree with changes to 38008803, 8832. Revise to agree w/ changes to Plate Deflector made on Plant CN 1080583158 and change from ARP Asm 28308373 to 38017688 made on Plant CN 1080583157.
</t>
  </si>
  <si>
    <t xml:space="preserve">
 - Engineering release Middle I-Shaft Asm (38015440) for the Alpha V-Series (A1SL, A1BL, A1LL). This will be similar to 28305117, but the length is 25 mm shorter.
 - Engineering release the following components used in the I-Shaft Asm: Tubular Shaft Blank (38015433), Tubular Shaft (38015435), Inter Strg (Painted) Shaft (38015438), and Inter Strg (Req't) Shaft Asm (38015439).
</t>
  </si>
  <si>
    <t xml:space="preserve">
Move the blank cut-off process for GMX-211, Alpha, &amp; Alpha+ to Plant 6. The new Haven cut-off machine (Haven #3) is capable of cutting the short Tubular Shaft Blanks (26054754, 28171744, 1934). No impact on fit, form or function. Will need to PPAP new process in Plant 6.
</t>
  </si>
  <si>
    <t xml:space="preserve">
 - Change the color of the shift lever wires on A/Trans Control Lever Asms (26075107, 26111909) from orange to black.
 - Revise Col Asms 26115745, 52, 5828, 32, 36, 37, 41, 42, 43, 45, 46, 47, 49, 50, 26125866, 67, 70, 71, 72, 73, 77, 78, 79, 81, 82, 83, 84, 85 to agree with Lever Asm 26075107.
 - Revise Col Asms 26115861, 62, 63, 26125886, 87, 88 to agree with Lever Asm 26111909.
 - This is a coordinated change with GMT-900, 610 &amp; K2XX. This is a running change for 610 &amp; 900. May need to scrap at time of saleable K2XX builds if any lever asms have white connectors &amp; orange conduit. Scrap charges can be quoted back to customer if needed at time of saleable K2XX builds.
</t>
  </si>
  <si>
    <t>52</t>
  </si>
  <si>
    <t xml:space="preserve">
 - Revise Col Asms (28203359, 60, 61, 62, 63, 64, 65, 66, 28291463, 64, 65, 66, 67, 68, 38003341, 4832, 33, 34, 35, 36, 8048, 49, 50, 51, 52, 53, 38015908, 09, 10, 11, 13, 14, 16, 17, 18, 20, 21, 22) to agree with the following: change shift lever wire color from orange to black, change the connection from white to black as well as the mating connector on the wire harness, and change the conduit on the shift lever tow/haul tap up/tap down wire to black.
 - This is a coordinated change with GMT-900, 610 &amp; K2XX. This is a running change for 610 &amp; 900. May need to scrap at time of saleable K2XX builds if any lever asms have white connectors &amp; orange conduit. Scrap charges can be quoted back to customer if needed at time of saleable K2XX builds.
</t>
  </si>
  <si>
    <t>GMT-900</t>
  </si>
  <si>
    <t>GMX-211, Alpha (+)</t>
  </si>
  <si>
    <t>Alpha V-Series (A1LL, A1BL, A1SL)</t>
  </si>
  <si>
    <t>IMP33022355</t>
  </si>
  <si>
    <t>IMP33022356</t>
  </si>
  <si>
    <t>IMP33022357</t>
  </si>
  <si>
    <t xml:space="preserve">
Revise SIR Coil Asm (26092629) to change from airbag connector body ABX3 "Code G" to ABX3 "Code C." The reason for the change is because the original ABX3 "Code G" has been obsoleted.
</t>
  </si>
  <si>
    <t xml:space="preserve">
Revise SIR Coil Asm (26094721) to change from airbag connector body ABX3 "Code G" to ABX3 "Code C." The reason for the change is because the original ABX3 "Code G" has been obsoleted.
</t>
  </si>
  <si>
    <t xml:space="preserve">
Lower Rotor Asm will be manufactured in two colors (black &amp; natural) to allow for additional volume to be produced by a supplier while ensuring traceability. All parts made in-house will be made in the color natural, and the supplier's will be black. Revise Lower Rotor Asm (28296001) to add to new chart (34006615) that will include both natural &amp; black rotor asms.
</t>
  </si>
  <si>
    <t>IMP33022397</t>
  </si>
  <si>
    <t>IMP33022399</t>
  </si>
  <si>
    <t>IMP33022411</t>
  </si>
  <si>
    <t>Ready for Audit 12/5/2013 10:56:51 AM</t>
  </si>
  <si>
    <t xml:space="preserve">
Obsolete components in Tracker #178. All components are inactive in the last 5 years. We do not have an open P.O. for any of these, and they are 15 years out of production. Specific tools associated with these components will be obsoleted as well. This is at the request of Plant 6 to free floor space. See CN for specific P/N's affected.
</t>
  </si>
  <si>
    <t>Ready for Audit 12/6/2013 1:54:32 PM</t>
  </si>
  <si>
    <t>Ready for Audit 12/6/2013 1:54:33 PM</t>
  </si>
  <si>
    <t xml:space="preserve">
 - Modify overmolded clip on A/Trans Ctrl Lever Asms (26075107, 26093957, 3958, 26111909, 26126779, 6781, 6783, 6784, 26135106, 26140036, 38009865, 9867, 9868, 38011988) to increase strength and reduce scrap by modifying the geometry to add fillet radius on sharp corner of stationary shift lever clip of Lever Asms.
 - Revise shifter interface dimensions on all Lever Asms (except 38009865) prints from 0.80 x 45 to 0.8 and 45 degrees.
</t>
  </si>
  <si>
    <t xml:space="preserve">
Revise prints for A/Trans Lever Asms (26075107, 26091231, 26111909, 1910, 26126779, 6781, 8027, 26135106, 9958, 26140036, 5267) to change vinyl material note for durometer value for new knob material to match K2XX Lever prints. These print changes drive revision changes to all affected parts, and this needs to be implemented before Agape Plastics submits Levers for PPAP to change wire color from orange to black and connector from white to black.
</t>
  </si>
  <si>
    <t>IMP33022517</t>
  </si>
  <si>
    <t>IMP33022518</t>
  </si>
  <si>
    <t>IMP33022562</t>
  </si>
  <si>
    <t>IMP33022566</t>
  </si>
  <si>
    <t>Ready for Audit 12/12/2013 10:31:38 AM</t>
  </si>
  <si>
    <t>Ready for Audit 12/12/2013 10:31:40 AM</t>
  </si>
  <si>
    <t>Ready for Audit 12/12/2013 10:31:41 AM</t>
  </si>
  <si>
    <t>Ready for Audit 12/12/2013 10:31:45 AM</t>
  </si>
  <si>
    <t>Ready for Audit 12/12/2013 10:31:48 AM</t>
  </si>
  <si>
    <t>Ready for Audit 12/12/2013 10:31:50 AM</t>
  </si>
  <si>
    <t xml:space="preserve">
Revise Tubular Shaft (28171746) to remove the orientation control between the 48-tooth serrations &amp; the 10-tooth block tooth since the radial position is random during the serration rolling process. Reference Eng. Permit 8355.
</t>
  </si>
  <si>
    <t xml:space="preserve">
Revise Tele Adjustment Cam (28271779) to modify lug edge from a radius to a chamfer.
</t>
  </si>
  <si>
    <t xml:space="preserve">
Revise Tubular Upper Shaft (28269522) so the print is within the manufacturing capabilities for the new process to swage &amp; extrude in Plant 6. Also, change the chamfer angle to 35 deg / 29 deg.
</t>
  </si>
  <si>
    <t>60, 62, 71</t>
  </si>
  <si>
    <t xml:space="preserve">
Revise Alps-supplied SIR Coil Asms (26088302, 03, 08, 09) to replace ABX1 Delphi connector with ABX4 (code C) Delphi connector becase the original connector is obsolete.
</t>
  </si>
  <si>
    <t xml:space="preserve">
Release Identification Label (38012815) and Identification Label Blank (38012816). This new label adheres to itself and will use a data matrix format. The previous label used a standard bar code and was not adhering to the tube, causing traceability information to be lost if the label were to come off. Revise Tubular Strg Shaft Asm (28268942) to use the new label and revise Tubular &amp; Lower Shaft Asm (28268939) to agree.
</t>
  </si>
  <si>
    <t>Ready for Audit 12/15/2013 4:58:31 PM</t>
  </si>
  <si>
    <t>IMP33022630</t>
  </si>
  <si>
    <t>Ready for Audit 12/19/2013 10:23:59 AM</t>
  </si>
  <si>
    <t>Ready for Audit 12/19/2013 10:24:00 AM</t>
  </si>
  <si>
    <t xml:space="preserve">
Engineering release Upper Rotor Magnet (38016065) &amp; Upper Rotor Asm (38016066) with reduced DY percentage in the magnets to reduce the cost of the Upper Rotor Asm. Steering effort increase due to magnetic flux loss (not expected to have any impact at the system level).
</t>
  </si>
  <si>
    <t>Ready for Audit 12/20/2013 3:45:19 PM</t>
  </si>
  <si>
    <t xml:space="preserve">
K2XX - 28300875 Module Asm, Power T&amp;T, rev 010
</t>
  </si>
  <si>
    <t>Ready for Audit 12/20/2013 3:45:21 PM</t>
  </si>
  <si>
    <t>K2XX MT&amp;T</t>
  </si>
  <si>
    <t>IMP33022660</t>
  </si>
  <si>
    <t>IMP33022661</t>
  </si>
  <si>
    <t>IMP33022662</t>
  </si>
  <si>
    <t>IMP33022663</t>
  </si>
  <si>
    <t>IMP33022664</t>
  </si>
  <si>
    <t xml:space="preserve">
Inactivate the following Strg Column Wiring Asms (replaced by): 38007629 (38020637), 38010442 (38020638), 38007630 (38020640), 38010443 (38020641), 38005360 (38020639). The replacing Wiring Asms were released on Product CN 82578 / Plant CN 82950.
</t>
  </si>
  <si>
    <t xml:space="preserve">
Revise Upper Rotor Asm (38001671) to change the plastic overmold to a simple round geometry that is easier to mold &amp; less sensitive to vision system checks. This is to address FTQ &amp; sorting costs at Plant 6.
</t>
  </si>
  <si>
    <t xml:space="preserve">
Engineering release Tubular Swaged Shafts (38010736, 0737) for new process to partially swedge &amp; phoscoat shafts. Prints revised to meet manufacturing capability in the plant.
</t>
  </si>
  <si>
    <t>50, 62</t>
  </si>
  <si>
    <t xml:space="preserve">
Revise Tolerance Ring (38005895) per supplier requested print change to match similar tolerance rings used on other Nexteer products (Y1XX, etc). Wall thickness tolerance increase from +/- 0.012 to +/- 0.02
Add note for measuring the corrugation thickness to be measured in the flat prior to bending.Reduce length of corrugations from 13.0 to 12.0. Changes drove rev bump to Tolerance Ring.
</t>
  </si>
  <si>
    <t>71</t>
  </si>
  <si>
    <t>IMP33022689</t>
  </si>
  <si>
    <t xml:space="preserve">
Revise Lower Shaft Asm (38013699) to rotate the overmold positioning rib 180 degrees and add roadmap symbol on print.
</t>
  </si>
  <si>
    <t>IMP33022709</t>
  </si>
  <si>
    <t xml:space="preserve">
 + Revise Upper Shaft Blanks (38005755, 38021755) per ME request to update drawings for I.D. / O.D. process at Haven. 
 + Revise Upper Shaft (28302947) to agree with 38005755.
 + Revise Upper Shaft (38005889) per ME request to modify the print to match current parts. This includes the area between the machined section for the lock sleeve &amp; transition to the bearing diameter, overall length of the splined section. Make chamfer and distance from gage line reference for area that is not cleaned up for tolerance ring; for this area make diameter a max dimension &amp; add note to make "non-cleanup permissible." For splines, make length dimension a min. requirement. Also revise to agree with changes to Upper Shaft Blank (38021755).
 + Revise Upper Shaft Asm (38005897) to agree with changes to 38005889.
 + Revise Strg Col Shaft Asms (28304327, 38006002) to add/change reference dimension for orientation notch &amp; stake requirements and revise to agree with lower level parts.
 + Revise Lower Shaft Asm (38013439) to change dimension at end of shaft asm from 60 deg. to 62/58 deg.
</t>
  </si>
  <si>
    <t>50, 60, 62, 71</t>
  </si>
  <si>
    <t>IMP33022728</t>
  </si>
  <si>
    <t>IMP33022730</t>
  </si>
  <si>
    <t>IMP33022733</t>
  </si>
  <si>
    <t>IMP33022736</t>
  </si>
  <si>
    <t>IMP33022742</t>
  </si>
  <si>
    <t>IMP33022747</t>
  </si>
  <si>
    <t xml:space="preserve">
Revise Controller Bracket (28202983) to add a slot in the hole for the wire retaining clip for ease of assembly. Modify production tool to add a small slot to the existing hole that receives the wire retaining clip. This is to address the issue where operators are not able to seat the clip due to the crush ribs under the retaining tabs. The slot will allow the clip to seat without the need to crush the ribs.
</t>
  </si>
  <si>
    <t xml:space="preserve">
 + Revise Telebearing &amp; Jacket Asm (38001824) to modify the print to add reference dimension calling out the locaiton of grease. There is no change to the process.
 + Revise Strg Column Support Asm (28267069) to modify the print for removal of the torque sequence on 26036497 screws. 
</t>
  </si>
  <si>
    <t xml:space="preserve">
Revise Adapter &amp; Bearing Asm (26146631) to increase the lower bearing adapter snap height to increase retention force.
</t>
  </si>
  <si>
    <t xml:space="preserve">
 + Inactivate the following Column Asms (replaced by): 38010716 (38019999), 38010717 (38020000), and 38011954 (38020001).
 + Revise Col Asms (38019999, 38020000, 0001) to make changes to agree with prior product CN's for the following CN's: ESCL software for Tilt Head Asm (82846, 83483), Bearing Adapter snap finger (83582), Shift Lever Boot groove surface (82204), ARP wire tie color (83582), new I-Shaft with robust E.P. clip (82872), Label format to move 2D barcode (83582), and New shift lever screw with dog-point lead-in (83030). Notes were also added to the spec drawing for strg shaft spacer orientation and wire tie tension.
 + Revise Strg Col Service Asm (38013142) to make changes for ESCL software updates.
</t>
  </si>
  <si>
    <t xml:space="preserve">
 + Revise ARP Asm (26077772) to agree with color change of wire tie (26103080) from natural to orange and add trim note.
 + Revise Identification Label (38007574) to rearrange 2D barcode, so the fixed scanner on the asm line can read it easier and the BTSI wire does not get in the way.
</t>
  </si>
  <si>
    <t>35,83</t>
  </si>
  <si>
    <t xml:space="preserve">
Revise Tubular Strg Shaft (26104686) to add an error proofing notch to end end of the shaft, so that a camera can be added to the asm lines to verify that a MT&amp;T column does not have a manual tilt shaft asm installed. Revise Lower Shaft Asm (26104688) to agree. Revise Steering Shaft Asm (26104689) &amp; Strg Col Tilt Head Asm (28226624) to add a notch orientation note &amp; agree with changes.
</t>
  </si>
  <si>
    <t>Mult. Prog.</t>
  </si>
  <si>
    <t>IMP33022797</t>
  </si>
  <si>
    <t>Ready for Audit 1/12/2014 12:11:07 PM</t>
  </si>
  <si>
    <t xml:space="preserve">
Engineering release Closeout Shroud Sets (38021781, 1782) for new packaging improvements. The sets will consist of the upper &amp; lower closeout shrouds, and they will be shipped together , unsnapped in dividers, rather being shipped in separate boxes. Set 38021781 will be the jet black upper (28313300) &amp; lower (28313296) closeout shrouds, and Set 38021782 will be the cocoa upper (38000947) &amp; lower (38000948) closeout shrouds.
</t>
  </si>
  <si>
    <t>Ready for Audit 1/12/2014 12:14:23 PM</t>
  </si>
  <si>
    <t>IMP33022870</t>
  </si>
  <si>
    <t>Ready for Audit 1/16/2014 10:26:30 AM</t>
  </si>
  <si>
    <t xml:space="preserve">
The previous supplier Twin Co. is out of business. Rogers Foam Co. will be the new supplier for this component. The "Tilt Bumper" is made out of two layers of plastic material: cellular urethane &amp; polyurethane film. The "Cellular Urethane" material is the same material used by both suppliers.
The "polyurethane "film will be replaced with "polyester" film by Rogers Foam Co.
</t>
  </si>
  <si>
    <t>Ready for Audit 1/16/2014 10:26:32 AM</t>
  </si>
  <si>
    <t>Ready for Audit 1/19/2014 11:03:44 AM</t>
  </si>
  <si>
    <t>IMP33022980</t>
  </si>
  <si>
    <t>IMP33022989</t>
  </si>
  <si>
    <t xml:space="preserve">
 + Revse strg Col Hsg (Cast) Support (28203300) for nominal wall thickness in the middle of the cast. Currently there is no diminsional control in this area. This will allow enough height difference between the (4) boss height &amp; the middle wall thickness for a sufficient amount of material so that after machining the (4) bosses are always proud of nominal wall.
 + Revise Strg Col Hsg (Mach) Support (28220525) to adjust the height &amp; control profile of (4) mtg pads because they are not always proud of support hsg surface and not controlled for profile / faltness relative to each other. Adjust pad height and add profile note to control all (4) pads. This is being done to help eliminate lazy tilt condition.
</t>
  </si>
  <si>
    <t xml:space="preserve">
Machine front face of the adapter plate flat after welding the tube to the plate; the adapter plate wraps after welding the telescope tube to the plate. This un-flat surface causes the ears on the support hsg to deflect when tightening the (4) attachment bolts between the plate &amp; the support hsg. Revise Tele (Mach) Tube Asm (28275509) to use Telescoping Tube Asm (38024962) instead of Telescoping (Weld) Tube Asm (28272667). Engineering release Telescoping Tube Asm (38024962) that will use Telescoping (Weld) Tube Asm (28272667).
</t>
  </si>
  <si>
    <t>ARMSTRONG
CASTANON</t>
  </si>
  <si>
    <t>IMP33023096</t>
  </si>
  <si>
    <t>Ready for Audit 1/24/2014 2:58:22 PM</t>
  </si>
  <si>
    <t>Ready for Audit 1/24/2014 2:58:24 PM</t>
  </si>
  <si>
    <t xml:space="preserve">
 + Revise Lower Shafts (26139095, 28238685, 28268128, 28284717, 28308578) to change the lead-in chamfer angle call out on the drawing to add +/- 3 degrees tolerance that was previously missed and change the length &amp; location of radial location mark. Revise prints to match current parts.
 + Revise the following up-level parts to agree with changes to Lower Shafts: Lwr Shaft Asm (28266354, 28284702), Lwr Overmold Shaft (26141153, 28238684, 28268129, 28284715, 28308577, 38009781), Strg Col Shaft Asm (26141162, 28238682, 28266351, 28284704, 28308576, 8581, 38009782), Brg &amp; Shaft Asm (26141161, 28238664, 28284706, 28308582, 8579, 38015817, 5821), Shaft &amp; Jkt Asm (26141150, 28308570, 38001713, 38015816, 5820, 7809, 7812), Strap Lock &amp; Jkt Asm (38001817, 38015815, 5819)
</t>
  </si>
  <si>
    <t>Alpha, Holden, Zeta, 352</t>
  </si>
  <si>
    <t>IMP33023120</t>
  </si>
  <si>
    <t>IMP33023121</t>
  </si>
  <si>
    <t xml:space="preserve">
Engineering release Reservoir Body (38021311) &amp; Hyd Pump Reservoir Asm (38021310) for use with heavy duty gas engines. The Res Asm will have a stiffening rib removed from the Body to accomodate a packaging change. Modify the existing mold for the Body. These will replace current production part numbers (28269102 &amp; 9103) for the 2016 MY.
</t>
  </si>
  <si>
    <t xml:space="preserve">
Revise Cardan Joint Boot Seal (38001201) to change note 6 -- multi-cavity spec by adding "...excluding range requirements for tensile and elongation." Reference Engineering Permit 8493.
</t>
  </si>
  <si>
    <t>IMP33023168</t>
  </si>
  <si>
    <t>IMP33023173</t>
  </si>
  <si>
    <t>IMP33023177</t>
  </si>
  <si>
    <t>Ready for Audit 1/30/2014 11:01:54 AM</t>
  </si>
  <si>
    <t xml:space="preserve">
Alpha/Alpha+/X352/Holden - SQE observed excess oil and dust gathered in the teeth of the E/A strap at supplier. Review of print found no note indicating that excess oil is not acceptable. (p/n 28277944, 28280068). Add "no excess oil or debris" note to E/A strap drawings that are affected. This note is currently listed on the E/A strap for current production Zeta.
</t>
  </si>
  <si>
    <t>Ready for Audit 1/30/2014 11:01:55 AM</t>
  </si>
  <si>
    <t xml:space="preserve">
 - Update Cover, ECL (28264603) to add radii to edges of cover to reduce cracking. Update print to revise dimensions and QCI's. Revise Cover Asm, ECL (28288143) to agree with changes.
 - Update Label Blank, Identification (38005720) print to change the adhesive thickness. Revise Label Blank, Identification (28316050) to agree.
 - Revise Motor Asm, ECL (28241558) to replace the motor magnet glue type with improved temp/humidity resistance.
 - Update Actuator, Lock Bolt (28264600) to revise thread data items. Revise Carrier Asm, Lock Bolt (28266155) &amp; Actuator Asm, Lock Bolt (28287283) to agree.
 - Update print for Housing Asm, ECL (28264601) for dimensional changes.
 - Changes to Card Asm, Circuit (28264602) &amp; ECL Asm (28264604) have been superseded by Product CN 1080582741.
</t>
  </si>
  <si>
    <t>Ready for Audit 1/30/2014 11:01:56 AM</t>
  </si>
  <si>
    <t xml:space="preserve">
 + Revise Lower Strg (Painted) Shaft Asms (28227953, 28284300, 38001450) and Tubular (Painted) Shaft (28218665) to identify the rework criteria and the controls for the splines and cardan joint.
 + Changes to Tubular (Painted) Shafts (26146420, 38004903) have been superseded by Product CN 84084.
</t>
  </si>
  <si>
    <t>32-4, 63</t>
  </si>
  <si>
    <t xml:space="preserve">
Revise Lever Asms (26139367, 9368, 9958, 26145267) to modify the overmold clip by adding a fillet radius to increase strength and reduce scrap at Nexteer. This is a running change.
</t>
  </si>
  <si>
    <t xml:space="preserve">
Revise Strg Col Hsg (Cast) Support (28206461) and Strg Col Tilt (Cst) Housing (28305401) to remove QCI on proof load. The Support would still require (1) pc. per lot of proof load test. No proof load testing req'd on Housing except at PPAP. Hardness check to be done on per lot basis for both the Support &amp; Housing. Dynamic Ram passed with current Housing &amp; Support.
</t>
  </si>
  <si>
    <t>K2XX HD</t>
  </si>
  <si>
    <t>IMP33023257</t>
  </si>
  <si>
    <t>IMP33023260</t>
  </si>
  <si>
    <t>Ready for Audit 2/1/2014 4:49:32 PM</t>
  </si>
  <si>
    <t xml:space="preserve">
 + Revise E/A Straps (38008182, 8183) to revert back to DV geometry, so retainer crush loads will be returned back to DV levels.
 + All other Affected Parts have been superseded by subsequent Product CN's.
</t>
  </si>
  <si>
    <t xml:space="preserve">
Revise Tubular (Painted) Shafts (26146420, 38004903) to reduce the paint masking length variation by commonizing the length of paint masking for Holden &amp; Zeta tubular parts. This will eliminate the possibility of using the wrong length mask on the incorrect part number.
</t>
  </si>
  <si>
    <t>IMP33023308</t>
  </si>
  <si>
    <t>Ready for Audit 2/6/2014 12:29:42 PM</t>
  </si>
  <si>
    <t xml:space="preserve">
Revise I-Shaft Asms (26135772, 38020866) prints to change bearing stake dimensions that were accidentally changed on Product CN 67854 / Plant CN 68680. Change from 16 x 15.5 MIN to 16 x 0.71 MIN. Change from 16 x 14.29 to 16 x 0.5 MIN.
</t>
  </si>
  <si>
    <t>IMP33023451</t>
  </si>
  <si>
    <t>IMP33023486</t>
  </si>
  <si>
    <t>IMP33023487</t>
  </si>
  <si>
    <t>Ready for Audit 2/9/2014 2:52:55 PM</t>
  </si>
  <si>
    <t>Ready for Audit 2/9/2014 2:52:56 PM</t>
  </si>
  <si>
    <t xml:space="preserve">
Revise Inter Strg Shafts (26054748, 26062679, 9418, 26114539) to change serration spec from 26078149 to 26145006 for pilot transition diameter only. The new design passed the validation tests. The new die uses two specs for serrations: standard spec 26078149 and for pilot transition dia. (lead-in) it will be 26145006. Inter Strg Shaft (26073018) listed on the Product CN is not made at Plant 6.
</t>
  </si>
  <si>
    <t>42</t>
  </si>
  <si>
    <t xml:space="preserve">
Revise Flange &amp; Shaft Asm (28314574) to change (5) dimensions &amp; relocate datum A to be common with Alpha AWD (28243515). See print for list of dimensional changes. Reference E.P. # 8605.
</t>
  </si>
  <si>
    <t xml:space="preserve">
 + Revise I-Shaft Asms (38020609, 10) to inactivate. They were replaced by 38020611, 12 when FOD Seal changes were made on Prod CN 83617 / Plant CN 83909.
 + Revise I-Shaft Asms (38020611, 12) to change note for P/N 38005854 Shaft I.D. Label to show customer P/N 92272278 instead of 92272268 (FOR 38020611 ONLY) and 92272279 instead of 92272269 (FOR 38020612 ONLY).
</t>
  </si>
  <si>
    <t>HOFFMAN</t>
  </si>
  <si>
    <t>IMP33023566</t>
  </si>
  <si>
    <t>Ready for Audit 2/13/2014 12:13:41 PM</t>
  </si>
  <si>
    <t xml:space="preserve">
Addition of bearings into the trunnion &amp; bushings into the actuator bearing housing with a unique screw for the actuator leadscrew housing. Release new P/N's Housing, Leadscrew Asm (38018162), Bearing, Needle (38017192), and Busing, Sleeve (38017194).
Revise the following P/N's to agree with the change - Housings, Leadscrew (28167884, 28255681), Housing Asm, Leadscrew (28283824), Trunnion, Tilt Nut (28302311).
Revise Leadscrew Asms (28255682, 28167016, 28208198).
Changes to Nut Asm, Jackscrew (38012534) and Actuator Asms, Tilt (28144321, 28204882) have been superseded by subsequent Product CN's.
</t>
  </si>
  <si>
    <t>Ready for Audit 2/13/2014 12:13:42 PM</t>
  </si>
  <si>
    <t>Ready for Audit 2/13/2014 12:13:44 PM</t>
  </si>
  <si>
    <t>Ready for Audit 2/13/2014 12:13:45 PM</t>
  </si>
  <si>
    <t xml:space="preserve">
Revise Inter Strg Shaft (26139616) to match drawings with process capabilities and to inactivate the GMX-521 Inter Strg Blank and use a common blank for Holden &amp; GMX-521. Blank part number revised from 26139617 to 38001796 and volume notation.
</t>
  </si>
  <si>
    <t>IMP33023641</t>
  </si>
  <si>
    <t>IMP33023671</t>
  </si>
  <si>
    <t>IMP33023672</t>
  </si>
  <si>
    <t xml:space="preserve">
Revise Actuator Asms (28313385, 3386, 38006342) to change the shipping location of jackscrew nuts to allow for ease in assembly.
</t>
  </si>
  <si>
    <t>Purch.</t>
  </si>
  <si>
    <t xml:space="preserve">
Revise Eccentric Spring (38008811) to change note 6 from blue color coating to blue or purple color coating to address a receiving &amp; inspection issue at Plant 6.
</t>
  </si>
  <si>
    <t xml:space="preserve">
Engineering release Telescope Bushing (38022269) and Telescoping Bushing (38022009) for the Ford P558 program.
</t>
  </si>
  <si>
    <t>Ford P558</t>
  </si>
  <si>
    <t>GMT-900 / K2XX</t>
  </si>
  <si>
    <t>Ready for Audit 2/19/2014 10:11:51 AM</t>
  </si>
  <si>
    <t>Ready for Audit 2/20/2014 11:13:13 AM</t>
  </si>
  <si>
    <t>Ready for Audit 2/22/2014 12:24:17 PM</t>
  </si>
  <si>
    <t>IMP33023784</t>
  </si>
  <si>
    <t>IMP33023788</t>
  </si>
  <si>
    <t xml:space="preserve">
 + Revise Identification Label (28304909) to change from bar code to 2D format. Revise I-Shaft Asm (28227559) to agree and to change Pinch Bolt 7832632 to 11610555 (ordered &amp; supplied separately)
 + Revise I-Shaft Asm (26145252) to change Pinch Bolt from 7832632 to 11610555 (GM provided - ordered &amp; shipped separately)
 + Revise I-Shaft Asm (28140450) to change Pinch Bolt 7832632 to 11610555 (GM provided - ordered &amp; shipped separately) and change KPC's to QCI's (renumbered)
</t>
  </si>
  <si>
    <t xml:space="preserve">
Reinstate Col Asms (38015908, 09, 10, 11, 13, 14) that use Ignition Switch P/N 26111367. EWO # GGWBCA stated that thse columns could be replaced with the release of the new Ign Switch, but GM recently issued a P.O. using the old P/N. To process this P.O. we must reinstate the old P/N's as active.
</t>
  </si>
  <si>
    <t xml:space="preserve">
XTS Component Revisions: 38013091 - Module Asm, Power T&amp;T, rev 010
38013597 replaces 280139889 - Module Blank Asm, Power R&amp;T, rev 001
28301821 - Controller Asm, Power T&amp;T, rev 005
See chart for product CN numbers.
</t>
  </si>
  <si>
    <t>Ready for Audit 2/27/2014 12:53:56 PM</t>
  </si>
  <si>
    <t>1080580357, 80924, 81292</t>
  </si>
  <si>
    <t>Ready for Audit 2/27/2014 12:53:57 PM</t>
  </si>
  <si>
    <t xml:space="preserve">
Revise Motor Asm (28261571) to change colors on connector pinout cavities and revise locating dimension for clip "G."
All changes to other affected P/N's on the Product CN have been superseded by subsequent CN's.
</t>
  </si>
  <si>
    <t xml:space="preserve">
 - Change the Jackscrew Nut (28302310) material to increase strength of the internal threads.
 - Revise Leadscrew Asm (28255694) to change back off angle for tilt applications from 120 deg to 90 deg to help reduce lashy feel in strg wheel and shorten length to match travel req'ts of Y1XX column.
 - Release I.D. Labels (28306452, 6453) &amp; adde to I.D. Label Cht (24084644) for Tilt &amp; Tele Actuator Asms
All other parts affected on the product CN have been superseded by subsequent Product CNs.
</t>
  </si>
  <si>
    <t>Ready for Audit 2/27/2014 12:53:58 PM</t>
  </si>
  <si>
    <t>Ready for Audit 2/27/2014 12:53:59 PM</t>
  </si>
  <si>
    <t>Ready for Audit 2/27/2014 12:54:01 PM</t>
  </si>
  <si>
    <t>Ready for Audit 2/27/2014 1:00:36 PM</t>
  </si>
  <si>
    <t>IMP33023883</t>
  </si>
  <si>
    <t>IMP33023885</t>
  </si>
  <si>
    <t xml:space="preserve">
 + Revise Rake Spring (38008185) to make the wire color blue &amp; netting color black for improved mesh retention to the spring.
 + Revise Pan HD Tapping Screw (38009496) to change the material spec from SAE J403 grade 1021-1022 to SAE J403 grade 10B21 to match supplier's PPAP.
 + All other affected parts have been superseded by Product CN 1080583945
</t>
  </si>
  <si>
    <t xml:space="preserve">
Replace Ignition Switch P/N 26111367 with new P/N 38008137 with new lead-free solders per EWO GGWBCA. Release 26 new Column Asm P/N's (38025673 thru 38025698) that use the new P/N.
</t>
  </si>
  <si>
    <t>IMP33023981</t>
  </si>
  <si>
    <t>Ready for Audit 3/6/2014 1:00:20 PM</t>
  </si>
  <si>
    <t>Ready for Audit 3/6/2014 1:00:21 PM</t>
  </si>
  <si>
    <t>Ready for Audit 3/6/2014 1:00:22 PM</t>
  </si>
  <si>
    <t xml:space="preserve">
Revise Tubular Steering Shaft (26104686) to remove the parallel to datum B requirement for the notch in the end of the shaft.
</t>
  </si>
  <si>
    <t>IMP33024127</t>
  </si>
  <si>
    <t>IMP33024149</t>
  </si>
  <si>
    <t>IMP33024152</t>
  </si>
  <si>
    <t>IMP33024153</t>
  </si>
  <si>
    <t>IMP33024154</t>
  </si>
  <si>
    <t xml:space="preserve">
 + Revise E/A Strap Eccentric Cam (38008809) to have the overall strength note changed to match the requirement.
 + Revise Telescope Bumper (28270168) to remove E.P. Tab.
</t>
  </si>
  <si>
    <t xml:space="preserve">
The following p/n's will be inactivated (replaced by) per Product Engineering: Column Mounting Bracket 38008846 (38020839), RH Rake Teeth 38017122 (38021097); Inner (LH) Cam 38008189 (38020836), Rake Lever Asm 38013476 (38021875), Rake Cam 38008179 (38021876 -- This is purchase included as part of 38021875). Replacement parts are being engineering released per this CN.
</t>
  </si>
  <si>
    <t xml:space="preserve">
 + The following p/n's are being inactivated (replaced by) per Product Engineer: Rake &amp; Tele Lever Asm 38013475 (38020840), Col Asms 38008803 (38020835), 38008832 (38020841). Engineering release replacement p/n's.
 + Inactivate Upper (Coated) Jacket (38018226) and replace with Upper (Mach) Jacket (38018227) because the autophoretic coating is being removed to improve noise during telescoping. Revise Upper Jacket Asm (38018225) to use 38018227.
 + All other affected parts have been superseded by subsequent Product CN's.
</t>
  </si>
  <si>
    <t>64, 56</t>
  </si>
  <si>
    <t xml:space="preserve">
Revise Rake (LH) Teeth (38020838) to correct the view projected at 1.51 deg in error to 7.332 deg.
</t>
  </si>
  <si>
    <t xml:space="preserve">
Revise Upper Jacket Blank (38000285), Upper Jacket (38018228), Upper (Mach) Jacket (38018227), and Upper Jacket Asm (38018225) to reflect ID/OD change made to the long length tubing per spec 38016606 to remain current with Alpha. No change in wall thickness.
</t>
  </si>
  <si>
    <t>K2XX MT</t>
  </si>
  <si>
    <t>IMP33024223</t>
  </si>
  <si>
    <t>IMP33024231</t>
  </si>
  <si>
    <t>Ready for Audit 3/13/2014 12:16:07 PM</t>
  </si>
  <si>
    <t>Ready for Audit 3/13/2014 12:16:08 PM</t>
  </si>
  <si>
    <t xml:space="preserve">
 + Revise Column Mounting Bracket (38020839) by changing the lower column mounting slot size to allow usage of a smaller diameter nut by GM to resolve stack issue between the nuts &amp; lower brakcet mounting slow walls.
 + Revise Col Mtg Insert Teeth (38021973) &amp; Rake (RH) Teeth (38021097) to change the QCI on both for the teeth profile from QS-100V to QS-DR due to the supplier not having a vision system in place to 100% check tooth presence but can demonstrate capability.
</t>
  </si>
  <si>
    <t xml:space="preserve">
 + Revise Lower Shaft (38010503) to increase the tolerance for the pinch bolt notch location &amp; the width across the flats to improve capability
 + Revise Lower Overmold Shaft (38010504) to change the angular tolerance on the v-notch to address first article inspection deviation.
</t>
  </si>
  <si>
    <t>62, 71</t>
  </si>
  <si>
    <t>IMP33024266</t>
  </si>
  <si>
    <t>IMP33024276</t>
  </si>
  <si>
    <t>IMP33024281</t>
  </si>
  <si>
    <t>IMP33024282</t>
  </si>
  <si>
    <t>Ready for Audit 3/16/2014 2:44:07 PM</t>
  </si>
  <si>
    <t xml:space="preserve">
 + Engineering release Col Asms (38015843, 44) for A1SL / A1BL with and without ESCL.
 + Inactivate without replacement Col Asm (38014161) for XTS power (non-memory).
 + Revise Col Asms (38016059, 61, 62, 28267632) to agree with the addition of adhesive to the rake / tele motor fasteners.
</t>
  </si>
  <si>
    <t xml:space="preserve">
Revise Shift Tube Blank (07805410) to change a drawn over mandrel product that will have better dimensional quality &amp; higher strength. This will allow the supplier to be able to produce lower quantities relieving Nexteer of a need to buy higher volumes of this product. The drawn over mandrel tube will be added as optional material. The original material spec is Cold Rolled Electric Welded SAE 1010 Steel Tubing, and the optional construction will be Welded Drawn Over Mandrel Steel Tubing per ASTM A513 Grade 1010, Type 5.
</t>
  </si>
  <si>
    <t xml:space="preserve">
Engineering release Retaining Ring (38026031) to add back on to the anti-rotation bolt. This is to eliminate the tapered spring &amp; go back to the retaining ring to hold the spring on to the A/R bolt. Use 26052103 spring &amp; 38026031 retaining ring with existing A/R bolt. New retaining ring is slightly more robust than existing retaining ring &amp; helps with assembly.
</t>
  </si>
  <si>
    <t>Alpha, XTS</t>
  </si>
  <si>
    <t xml:space="preserve">
 + Engineering release the following parts for the Ford H567 program: Lower Bearing Asm (38014396), Lower Shaft (38014399), Lower Shaft Asm (38014400), Upper Shaft (38014401), Steering Column Shaft Asm (38014402).
 + Revise Lower Jacket (28307958) to modify tolerances.
</t>
  </si>
  <si>
    <t xml:space="preserve">
Revise Lower Shroud (38004626) to remove error proofing ribs that were added on the previous revision. These tabs are no longer needed beacuse grease is being added to the shift lever clevis instead of making changes to the shift boot and shroud. Grease was added to the shift clevis on Product CN 82846 / Plant CN 83621.
</t>
  </si>
  <si>
    <t>IMP33024445</t>
  </si>
  <si>
    <t>IMP33024446</t>
  </si>
  <si>
    <t>IMP33024447</t>
  </si>
  <si>
    <t>IMP33024448</t>
  </si>
  <si>
    <t>IMP33024449</t>
  </si>
  <si>
    <t>Ready for Audit 3/23/2014 3:20:10 PM</t>
  </si>
  <si>
    <t xml:space="preserve">
 + Inactivate Lower Jacket (38008807) and replace with Lower Jacket (38024294). Changing the Lower Jacket increases the pivot boss diameter and the radius where the boss meets the pivot ear. Revise Upper &amp; Lower Jacket (38018224) to use the new Lower Jacket.
 + Replace Lower Pivot Bushing 28231323 with Lower Pivot Bushing (38024295). Replacing the bushing increases the ID/OD chamfer size to match the pivot boss on the lower jacket and changes the material to an impact modified acetal.
</t>
  </si>
  <si>
    <t xml:space="preserve">
Revise Insert Retaining Tape (38022592) to correct the material from polyethylene to polyvinylchloride. Revise Teeth Insert &amp; Bracket Asm (38022442) to agree.
</t>
  </si>
  <si>
    <t xml:space="preserve">
Revise Bolt (LH) Retainer (38020837) and Bolt Retainer (38008194) to add material around the rake bolt opening to increase the tele volocity impact load.
</t>
  </si>
  <si>
    <t xml:space="preserve">
Revise Eccentric Spring (38008811) to add blue coating color for improved visual error proofing of spring leg position agains the aluminum lower jacket during assembly. Revise Eccentric Rocker Asm (38008808) to agree.
</t>
  </si>
  <si>
    <t xml:space="preserve">
Revise Upper Jacket (38018228) to increase the radial tolerance on the retainer guide locating geometry &amp; related screw hole. Revise Guide Retainer (38010141) to accomodate the increase in tolerance on upper jacket. Revise Upper (Mach) Jacket (38018227), Upper Jacket Asm (38018225) to agree with changes.
</t>
  </si>
  <si>
    <t>HOFFMAN
WEBSTER</t>
  </si>
  <si>
    <t>Ready for Audit 3/27/2014 12:20:44 PM</t>
  </si>
  <si>
    <t>IMP33024644</t>
  </si>
  <si>
    <t>IMP33024646</t>
  </si>
  <si>
    <t>IMP33024647</t>
  </si>
  <si>
    <t>IMP33024648</t>
  </si>
  <si>
    <t>Ready for Audit 3/30/2014 1:54:56 PM</t>
  </si>
  <si>
    <t>Ready for Audit 3/30/2014 1:54:57 PM</t>
  </si>
  <si>
    <t xml:space="preserve">
Revise Column Asms (38019999, 38020000, 38020001) to agree with ESCL software updates (08.0.03, 08.0.04, 08.0.05) and for tester updates to add end model and software part number checks to EOL.
</t>
  </si>
  <si>
    <t xml:space="preserve">
Engineering release Elec Col Lock &amp; Housing Asm (38024214) and Strg Col Tilt Head Asm (38024215) for use on service power col asm 38013142.
</t>
  </si>
  <si>
    <t>47, 83</t>
  </si>
  <si>
    <t xml:space="preserve">
Revise Lower Jacket (28307958) to add view &amp; related dimensions to the print.
</t>
  </si>
  <si>
    <t xml:space="preserve">
Revise Strg Col Shaft Asms (28304327, 38013845) to use 38021661 Lower Shaft Asm -- was 38013699.  Changes to Strg Col Shaft Asm (28304327) have been superseded by Prod CN 83418 / Plant CN 84206.
</t>
  </si>
  <si>
    <t>Ready for Audit 4/3/2014 12:48:58 PM</t>
  </si>
  <si>
    <t>IMP33024772</t>
  </si>
  <si>
    <t>IMP33024775</t>
  </si>
  <si>
    <t>IMP33024777</t>
  </si>
  <si>
    <t>IMP33024804</t>
  </si>
  <si>
    <t>Ready for Audit 4/6/2014 2:25:11 PM</t>
  </si>
  <si>
    <t>Ready for Audit 4/6/2014 2:25:13 PM</t>
  </si>
  <si>
    <t>Ready for Audit 4/6/2014 2:25:14 PM</t>
  </si>
  <si>
    <t xml:space="preserve">
Engineering Release Alpha V-Series Power / Manual RWD R&amp;T (w/ &amp; w/o ECL) Column Asms (38020758, 0759, 0760, 0761) with a new, unique directed buy GSS I-Shaft Asm (38020757). SOP for this platform is April 2015.
</t>
  </si>
  <si>
    <t xml:space="preserve">
 + Engineering release Alpha+ V-Series Power/Manual RWD R&amp;T (w/ &amp; w/o ECL) Column Asms (38020024, 0025, 0028, 0029) with new directed buy GSS I-Shaft Asm (38018620)
 + Engineering release Alpha Power/Manual RWD R&amp;T (w/ &amp; w/o ECL) Column Asms (38020018, 0019, 0021, 0020) with new directed buy GSS I-Shaft Asm (38018618).
 + Engineering release Alpha/Alpha+ Power/Manual AWD R&amp;T (w/ &amp; w/o ECL) Column Asms (38020020, 0023, 0026, 0027) with new directed buy GSS I-Shaft Asm (38018619)
</t>
  </si>
  <si>
    <t xml:space="preserve">
The following Alpha/Alpha+ Column Asms are being inactivated and (replaced by) current production asms: 38020644 (38019361), 38020645 (38019362), 38020646 (38019363), 38020647 (38019355), 38020648 (38019356), 38020649 (38019357), 38020650 (38019358), 38020651 (38019359), 38020652 (38019368), 38020653 (38019367). Ref. Inactivation Sheet under Supporting Docs in GES.
</t>
  </si>
  <si>
    <t>IMP33024856</t>
  </si>
  <si>
    <t>Ready for Audit 4/10/2014 12:04:00 PM</t>
  </si>
  <si>
    <t xml:space="preserve">
 + Engineering release Col Asms (38025847, 48, 49, 50, 51, 52) that will replace the current Ignition Switch 26111367 with new lead-free solder switch 38008137.
 + The following Col Asms will be inactivated and (replaced by): 38004836 (38015914), 38004833 (38015910), 38004834 (38015911), 38004835 (38015913), 38003341 (38015908), 38004832 (38015909)
 + Col Asms 38015908, 09, 10, 11, 13, 14 were supposed to be inactivated on this CN as well but were reinstated on Product CN 84345 / Plant CN 84518 because GM issued a P.O. for these p/n's with the old Ignition Switch.
</t>
  </si>
  <si>
    <t xml:space="preserve">
 + Revise Upper Shaft (38000292) to modify the scribe line location. Revise Upper Shaft Asm (38000291), Upper &amp; Lower Shaft Asm (38011904), and Strg Col Shaft Asm (38010505) to agree with change to Upper Shaft.
 + All other parts have been superseded by subsequent Product CN's.
</t>
  </si>
  <si>
    <t>ZELENIUK
HOFFMAN</t>
  </si>
  <si>
    <t>IMP33024922</t>
  </si>
  <si>
    <t>Ready for Audit 4/13/2014 3:04:45 PM</t>
  </si>
  <si>
    <t xml:space="preserve">
 + Revise Upper Shaft (38014401) to change wheel interface to 48-tooth spline, use alternate design without lock slot buldge, and make manufacturing feedback changes.
 + Revise Lower Shaft (38014399) to change 16-tooth end centering feature from female to male, add MMC qualifier, and make manufacturing feedback changes.
 + Revise Lower Shaft Asm (38014400) to agree with Lower Shaft changes and change reference dimension. Revise Strg Col Shaft Asm (38014402) to agree with changes on Upper Shaft and Lower Shaft Asm.
</t>
  </si>
  <si>
    <t>Alpha(+)</t>
  </si>
  <si>
    <t>IMP33024985</t>
  </si>
  <si>
    <t>IMP33024987</t>
  </si>
  <si>
    <t>IMP33024999</t>
  </si>
  <si>
    <t>Ready for Audit 4/17/2014 12:10:25 PM</t>
  </si>
  <si>
    <t>Ready for Audit 4/17/2014 12:10:26 PM</t>
  </si>
  <si>
    <t>Ready for Audit 4/17/2014 12:10:27 PM</t>
  </si>
  <si>
    <t>ECR 201008875, 8876</t>
  </si>
  <si>
    <t xml:space="preserve">
DuPont performance is changing the manufacturing location of its resin from its Maitland, Ontario site to W. Virginia. All products will be produced with the same raw material recipes as in the past and to the same global manufacturing specifications. Processing and dimensional studies using the material from the new facility were done using the most challenging of the parts to process. There were no processing issues and all dimensionals were good. Change Notice requested by Ed Krejci (Reference ECRs 201008875, 201008876).
</t>
  </si>
  <si>
    <t xml:space="preserve">
Engineering release GSS I-Shaft Asm (38025748) that will add a chamfer to correct squeak issue and paint dot to FOD Seal. Engineering release Column Asms (38025737, 38) that will use new I-Shaft Asm.
</t>
  </si>
  <si>
    <t xml:space="preserve">
Revise Adapter &amp; Bearing Asm (26146631) to add a new hole to attach a fir tree wire tie for the Steering Angle Sensor harness.
</t>
  </si>
  <si>
    <t>IMP33025026</t>
  </si>
  <si>
    <t xml:space="preserve">
Revise Rake (RH) Guide Asm (28263817) to agree with changes made to Rake (RH) Teeth 28263818 to add a chamfer on both ends of the locator hole that will aid in the overmold process.
</t>
  </si>
  <si>
    <t>IMP33025079</t>
  </si>
  <si>
    <t>Ready for Audit 4/24/2014 11:30:26 AM</t>
  </si>
  <si>
    <t xml:space="preserve">
 + K2XX HD AHA - Engineering release Yoke &amp; Convolute Tube Asm (38018948), Painted Convolute Tube Asm (38018947), Lower Strg Shaft Asm (38017969), and Lower Strg Shaft Asm (38018949) with 49 mm shorter convolute tube and 2D barcode label that will be applied after cardan asm &amp; before autophoretic coating.
 + K2XX HD STD - Revise Lower Shaft Asm (28304431) and engineering release Lower Strg Shaft Asm (38025736) to add 2D barcode label after cardan asm and before autophoretic coating.
</t>
  </si>
  <si>
    <t>VANTOL</t>
  </si>
  <si>
    <t>KOSS
CASTANON</t>
  </si>
  <si>
    <t>IMP33025181</t>
  </si>
  <si>
    <t>IMP33025182</t>
  </si>
  <si>
    <t>IMP33025183</t>
  </si>
  <si>
    <t>Ready for Audit 4/27/2014 2:40:48 PM</t>
  </si>
  <si>
    <t xml:space="preserve">
Revise Tubular Shaft (28266645) to change the overall length dimension for improved stack condition of the hole in the tube that connects to the hole in the lower I-Shaft.
</t>
  </si>
  <si>
    <t xml:space="preserve">
 + Revise Tubular Shafts (28288840, 28313595, 38015435) to increase the spring plunger hole diameter to allow the spring plunger to extend more freely during vehicle assembly at LGR.
 + Revise the following parts to agree with change: Tubular Strg (Painted) Shaft (28288841), Inter Strg (Painted) Shafts (28313600, 38015438), Tubular Shaft Asm (28288842), Inter Strg (Reqt) Shaft Asms (28313601, 38015439), and Inter Strg Shaft Asms (28315117, 38007899, 38015440).
</t>
  </si>
  <si>
    <t xml:space="preserve">
 + Revise Inter Strg Shafts (28254843, 28314572) to eliminate the machining operation. Also revise 28314572 to change the stop feature by changing the machining length of the doube D flat, which allows Plant 6 to have a common gage with the LF3 lower.
 + Revise the following to agree with changes: Solid Shaft &amp; Flange Asm (28243515), Flange &amp; Shaft Asm (28314574), Flange &amp; Coupling Asm (28252953), Shaft &amp; Coupling Asm (28314578), Strg Coupling Asm (28252956), Flange &amp; Coupling Asm (28314616), Strg (Painted) Coupling Asm (28172419), Inter Strg (Reqt) Shaft Asm (28314617), Strg (Painted) Coupling Asm (28314618), and Boot &amp; Inter Strg Shaft Asm (38012217)
 + Engineering Relase Strg Coupling Asm (38027032) &amp; Inter Strg Shaft Asm (38027033) to agree with changes &amp; create breakpoint for GM.
</t>
  </si>
  <si>
    <t>K2XX HD Std / AHA</t>
  </si>
  <si>
    <t>Ready for Audit 5/1/2014 1:40:20 PM</t>
  </si>
  <si>
    <t>Ready for Audit 5/1/2014 1:40:21 PM</t>
  </si>
  <si>
    <t>IMP33025294</t>
  </si>
  <si>
    <t xml:space="preserve">
Revise SIR Coil Asm (26088118) to change the current flat cable from Sony Chemical because of toxic material in the adhesive of the cable to Hitachi Cable that does not contain the toxic material.
</t>
  </si>
  <si>
    <t>IMP33025389</t>
  </si>
  <si>
    <t>Ready for Audit 5/8/2014 12:30:41 PM</t>
  </si>
  <si>
    <t xml:space="preserve">
A sample run of Sensor Asm Alignment Tool (38014712) was conducted by Nexteer Plastics Manufacturing. GD&amp;T and dimensional modifications are required to improve manufacturing capability per agreement with Engineering. Changes are captured in rev. 005. This part is a service item used for Ford U377 CEPS sensor replacement.
</t>
  </si>
  <si>
    <t>Ready for Audit 5/11/2014 4:46:06 PM</t>
  </si>
  <si>
    <t>Ready for Audit 5/11/2014 4:46:07 PM</t>
  </si>
  <si>
    <t>IMP33025525</t>
  </si>
  <si>
    <t xml:space="preserve">
 + Engineering release Inner (LH) Cam (38027478), replaces 38020836, due to addition of a mechanical catch in between the rake lever stops, increase the rake lever detent by 2 deg. and overall rake lever travel from 35 deg. max to 37 deg. max. Engineering release Rake &amp; Tele Lever Asm (38028383), replaces 38020840, to uses the new Inner (LH) Cam.
 + The Product CN also released new p/n's to agree with the Cam and E/A slot width changes. These p/n's have either been replaced or superseded by subsequent Product CN's. Please see the 'Properties' tab of the Plant CN for detailed information.
</t>
  </si>
  <si>
    <t>IMP33025575</t>
  </si>
  <si>
    <t>IMP33025576</t>
  </si>
  <si>
    <t>IMP33025577</t>
  </si>
  <si>
    <t xml:space="preserve">
Engineering release components for K2XX PT&amp;T ECL Asm (28264604). The following parts are being released per this CN: Sleeve, Lock Bolt (28292378); Cover ECL (28264603); Spring, Lock Bolt (26143230); Actuator, Lock Bolt (28264600); Bushing, Flanged (28269775); Isolator Pad (28302384); Cover Asm, ECL (28288143); Actuator Asm, Lock (28287283); Leadscrew Asm (28282611); Carrier Asm, Lock Bolt (28266155); Bolt, Lock (28264599); Label Blank, Identification (38005720); Label, Identification (28316050); Motor Asm, ECL (28241558); Gear (28282608); Spring, Retaining (38005415); Bushing, Guide (28306636); Housing Asm, ECL (28264601).
ECL Asm (28264604) will be released on Product CN 80361.
</t>
  </si>
  <si>
    <t>Ready for Audit 5/18/2014 1:16:00 PM</t>
  </si>
  <si>
    <t xml:space="preserve">
Revise Bushing, Flanged (28269775) print to update notes &amp; dimension.
Revise Gear (28282608) to change max tip radius.
Revise Leadscrew Asm (28282611) to agree with changes to Gear (28282608) &amp; Lead Screw (28282607).
Changes to Cover, ECL (28264603), Motor Asm, ECL (28241558), ECL Asm (28264604) &amp; Circuit Card Asm (28264602) have been superseded by subsequent Product CN's.
</t>
  </si>
  <si>
    <t>Ready for Audit 5/18/2014 1:16:01 PM</t>
  </si>
  <si>
    <t>Ready for Audit 5/18/2014 1:16:02 PM</t>
  </si>
  <si>
    <t>Ready for Audit 5/18/2014 1:16:03 PM</t>
  </si>
  <si>
    <t xml:space="preserve">
Revise Anti-rotation Pin Asm (38017688) to agree with the following puchase-included component updates: 1) increase the snap overlap to the upper jacket on the A/R Bushing, 38017689, 2) update A/R Pin, 38017691, to reduce OAL by 3.0 and end chamfer from 3x30 deg to 1x45 deg to address pin coming dislodged during handing, 3) remove relative viscosity req't from mat'l note and make strength req't 80N on Wire Harness Strap, 28232288.
</t>
  </si>
  <si>
    <t xml:space="preserve">
Engineering release Label Blank (38027747) that will replace the current blank, 28215813. The new blank will be 7mm shorter to prevent the label from being damaged when pinch bolt is driven. Engineering release ID Labels (38026116, 6117, 8286, 8287) and revise Labels (38028285, 8284, 38012510, 2511, 38008169, 9170) to agree with change to the blank.
</t>
  </si>
  <si>
    <t xml:space="preserve">
 + Engineering release I-Shaft Asm (38026115), replaces 38006920, that add an assembly aid to address length issues and the lower shaft slipping inside the added lower boot. 
 + Engineering release Col Asms (38026111, 6112) to use new I-Shaft Asm and make label changes (Plant CN 85110) and ARP changes (Plant CN 85109).
 + Col Asms 38026113, 6114, 38011906, 1912, 38013067, 3068, 38028294, 8295, 38027243, 7244 were released/revised per this CN but have been superseded per Product CN 84924.
</t>
  </si>
  <si>
    <t>IMP33025603</t>
  </si>
  <si>
    <t>Ready for Audit 5/22/2014 12:20:53 PM</t>
  </si>
  <si>
    <t>Ready for Audit 5/22/2014 12:20:54 PM</t>
  </si>
  <si>
    <t>1080584633, 84698</t>
  </si>
  <si>
    <t xml:space="preserve">
Revise Upper Shafts (26143769, 28302947) to shorten scribe line and move serialization to the end of the tube. Both features are optional per latest revision. Revise Strg Col Shaft Asms (28304327, 38021662) to agree with changes.
</t>
  </si>
  <si>
    <t>50, 62, 60</t>
  </si>
  <si>
    <t>MCCARTNEY
(7.31.14)</t>
  </si>
  <si>
    <t>GALLIHUGH
(8.1.14)</t>
  </si>
  <si>
    <t>ARMSTRONG
(6.30.14)</t>
  </si>
  <si>
    <t>HATFIELD
(7.15.14)</t>
  </si>
  <si>
    <t>IMP33025725</t>
  </si>
  <si>
    <t>IMP33025726</t>
  </si>
  <si>
    <t>Ready for Audit 5/25/2014 4:32:30 PM</t>
  </si>
  <si>
    <t xml:space="preserve">
Engineering release Bushing &amp; Yoke Asm (38024002) to agree with supplier change for Centering Pin Bushing from St. Gobain to OILES.The Bushing will be purchased from OILES and pressed into Flange Yoke (Plt 7) at Euclid. Bushing &amp; Yoke Asm is purchased by Plant 6.
</t>
  </si>
  <si>
    <t xml:space="preserve">
 + Engineering release Gear Clamp (Painted) Yoke (38029102), Gear Clamp Yoke Asms (38029106, 9103), Inter Strg (Reqt) Shaft Asms (38029107, 9104), Strg (Painted) Coupling Asm (38029108), Boot &amp; Inter Strg Shaft Asms (38029105, 9109), and Inter Strg Shaft Asms (38027034, 7035) to agree with changes to Yoke Casting 38023543 &amp; Yoke 38023544 to remove materlal to improve clamping performance, reduce mat'l thickness at yoke radius opposite saw slot, increase length of reduced mat'l of saw slot, and remove mat'l from barrel.
 + Inactivate (replaced by) the following parts: Steering Coupling Asm 38007894 (38022640) and Inter Strg Shaft Asm 28314619 (38022641).
</t>
  </si>
  <si>
    <t>GALLIHUGH
(8.4.14)</t>
  </si>
  <si>
    <t>GALLIHUGH
(8.11.14)</t>
  </si>
  <si>
    <t>HOFFMAN
(7.18.14)</t>
  </si>
  <si>
    <t>IMP33025837</t>
  </si>
  <si>
    <t>IMP33025840</t>
  </si>
  <si>
    <t>IMP33025841</t>
  </si>
  <si>
    <t>Ready for Audit 6/1/2014 2:20:50 PM</t>
  </si>
  <si>
    <t xml:space="preserve">
 + Revise Col Asms (38021280, 81, 83, 84, 86, 87) to change I-Shaft Asm p/n from 38019090 to 38020866 w/ robust EP clip, change format of 2D label 38007574 for ease of scanning, add cinch &amp; trim not for 26089427 wire harness strap, change Shift Lever Screw from 26086318 to 38006375 with dog point lead in, and change color of wire tie on ARP Asm 26077772 from natural to orange.
 + Per Col Spec (34001293), revise Col Asms (38011252, 7802, 03, 05, 07, 08, 10, 11, 19, 20, 22, 23, 25, 26, 9798, 99, 9801, 02) to change I-Shaft Asm p/n from 38019090 to 38020866 w/ robust EP clip, change format of 2D label 38007574 for ease of scanning, add cinch &amp; trim note for 26089427 strap, change shift lever screw from 26086318 to 38006375 w/ dog point lead in, change upper &amp; lwr closeout shrouds from individual (38003696, 28313300, 3296, 38000947, 48) to sets (38021781, 82), and change color of wire tie on ARP Asm 26077772 from natural to orange.
 + Revise Col Asms (38021273, 75) to change I-Shaft Asm from 38019090 to 38020866 with robust EP clip, change format of 2D label 38007574 for ease of scanning, add cinch &amp; trim note for 26089427 strap, and change color of wire tie on ARP Asm 26077772 from natural to orange.
 + Inactivate and replace Col Asms (see 'Properties' tab of Product or Plant CN in GES for details).
 + Changes for the removal of the lower spring retainer &amp; addition of notch at the end of the shaft are covered on Plant CN 85201.
</t>
  </si>
  <si>
    <t>Ready for Audit 6/1/2014 2:20:51 PM</t>
  </si>
  <si>
    <t>Ready for Audit 6/1/2014 2:20:52 PM</t>
  </si>
  <si>
    <t>Ready for Audit 6/1/2014 2:20:53 PM</t>
  </si>
  <si>
    <t xml:space="preserve">
 + Revise Col Asms (38021280, 81, 83, 84, 86, 87, 38021273, 75) to remove lower spring retainer (no-back) 7837359 and add EP notch to the end of the tubular shaft.
 + All other changes made on the Product CN are covered on Plant CN 1080584273.
</t>
  </si>
  <si>
    <t xml:space="preserve">
Revise Telescope Bushing (28308481) to modify for a better pre-load fit prior to tele injection (change dim. 2 from 0.28 - 0.38 to 0.22 - 0.32).
</t>
  </si>
  <si>
    <t xml:space="preserve">
Revise E/A Retainer (28277945) to add note for optional tensile teset in lieu of x-ray analysis. This has been agreed upon by Nexteer and the supplier, but the print was never updated.
</t>
  </si>
  <si>
    <t>IMP33025883</t>
  </si>
  <si>
    <t>IMP33025903</t>
  </si>
  <si>
    <t>Ready for Audit 6/5/2014 11:03:28 AM</t>
  </si>
  <si>
    <t>Ready for Audit 6/5/2014 11:03:29 AM</t>
  </si>
  <si>
    <t xml:space="preserve">
Revise the following parts to agree with the removal of the error proofing tab on the tele-bumper (Product CN 83114): Strap &amp; Retainer Asm (28280071, 6428), Upper &amp; Lower Jkt Asm (28314227, 38001716, 38010412, 0447, 7810, 7813), Shaft &amp; Jkt Asms (28308570, 38001713, 38015816, 5820, 7809, 7812), Strap Lock &amp; Jkt Asms (38001817, 38015815, 5819), and Col Asms (38019361, 62, 63).
</t>
  </si>
  <si>
    <t xml:space="preserve">
 + Revise Rake Lever Asm (38021875) to agree with changs to the Rake Cam to eliminate sticking with the rake bolt hole.
 + Revise Lower Jacket (38024294) to address increase in rake lever efforts during MQ1.
</t>
  </si>
  <si>
    <t>HICKEY
(6.30.14)</t>
  </si>
  <si>
    <t>SCHOENOW
(7.18.14)</t>
  </si>
  <si>
    <t>STOUTENBURG
(7.25.14)</t>
  </si>
  <si>
    <t>IMP33025997</t>
  </si>
  <si>
    <t>IMP33026023</t>
  </si>
  <si>
    <t>Ready for Audit 6/8/2014 2:49:00 PM</t>
  </si>
  <si>
    <t>Ready for Audit 6/8/2014 2:49:01 PM</t>
  </si>
  <si>
    <t xml:space="preserve">
Engineering release Column Asms (38017888, 7891) and GSS directed buy I-Shaft Asm (38017890) for the next generation Camaro (2016 MY). This will be a carry over Alpha (A1SL) RWD base column with the new I-Shaft.
</t>
  </si>
  <si>
    <t xml:space="preserve">
Revise Guide Ball Asm (38023549) to agree with changes to Anti-Rotation Ball that adds ejector pin cut outs.
</t>
  </si>
  <si>
    <t>Ready for Audit 6/12/2014 12:27:50 PM</t>
  </si>
  <si>
    <t>Ready for Audit 6/12/2014 12:27:51 PM</t>
  </si>
  <si>
    <t>Ready for Audit 6/12/2014 12:27:52 PM</t>
  </si>
  <si>
    <t>Ready for Audit 6/12/2014 12:27:53 PM</t>
  </si>
  <si>
    <t>Ready for Audit 6/12/2014 12:27:54 PM</t>
  </si>
  <si>
    <t>CASTANON
KOSS</t>
  </si>
  <si>
    <t>CN superseded by Product CN 1080584698 / Plant CN 1080585124</t>
  </si>
  <si>
    <t>IMP33026276</t>
  </si>
  <si>
    <t>Ready for Audit 6/15/2014 2:12:22 PM</t>
  </si>
  <si>
    <t>Ready for Audit 6/15/2014 2:12:23 PM</t>
  </si>
  <si>
    <t xml:space="preserve">
 + Add a zinc retainer guide which attaches to the telescope tube asm via the shoulder bolt. The new zinc deicasted guide interfaces with the tele-tube asm via two protrusions wihch mate with slots cut into the tube. Assembly of the guide to the tube must be verified for presence &amp; seating. Error proofing finger added to die casting for verifiction. Retainer to be clolored black for identification. The retainer has been modified, so that there's only one orientation to the tube asm; this will allow for only on E.P. camera in the tele-tube asm cell.
 + Engineering release the following part numbers to agree with the change: Tele (Mach) Tube Asm (38022619), Guide Retainer (38022620), Shoulder Screw (38022963), Telescope Jacket Clamp (38023548), Guide Ball Asm (38023549), Telescoping (Grind) Tube Asm (38023552), Telescoping Clamp Asm (38023553), Bushing &amp; Jacket Asm (38023554), Strg Col Jacket Asm (38023555).
</t>
  </si>
  <si>
    <t>39, 68-3, 83</t>
  </si>
  <si>
    <t>Modified for PLM - allow checklist files which start with "IMP" or "PCN"</t>
  </si>
  <si>
    <t>PCN_checklist_P400028</t>
  </si>
  <si>
    <t>PCN_checklist_P400093</t>
  </si>
  <si>
    <t>PCN_checklist_P400109</t>
  </si>
  <si>
    <t>PCN_checklist_P400110</t>
  </si>
  <si>
    <t>PCN_checklist_P400116</t>
  </si>
  <si>
    <t>PCN_checklist_P400117</t>
  </si>
  <si>
    <t>PCN_checklist_P400118</t>
  </si>
  <si>
    <t>PCN_checklist_P400119</t>
  </si>
  <si>
    <t>PCN_checklist_P400142</t>
  </si>
  <si>
    <t>PCN_checklist_P400143</t>
  </si>
  <si>
    <t>PCN_checklist_P400146</t>
  </si>
  <si>
    <t>PCN_checklist_P400149</t>
  </si>
  <si>
    <t>PCN_checklist_P400154</t>
  </si>
  <si>
    <t>PCN_checklist_P400164</t>
  </si>
  <si>
    <t>PCN_checklist_P400167</t>
  </si>
  <si>
    <t>PCN_checklist_P400176</t>
  </si>
  <si>
    <t xml:space="preserve">
Service GMX 220 - Revise Switch Asms (26057315, 26057323) to change the PLR from 15326177 to 15445756 on Packard Connector 15336417 and change to a cloth tape for the wire loom.
</t>
  </si>
  <si>
    <t xml:space="preserve">
Y1XX - This CN will cover ALL part numbers for Y1XX columns, shafts, &amp; components from the initial engrg release to the most current rev level status. Process changes are not included; process CN's should be written by the engineer.
</t>
  </si>
  <si>
    <t xml:space="preserve">
Supplier is using common maching centers for both the K2XX and GMT610 Lock Module Housings. Datum structures changed with the release of the K2XX Housing. Need to update to match new tool holder.
</t>
  </si>
  <si>
    <t xml:space="preserve">
K2XX - Revise Spacer Clip (38003906) and Lwr Supt Brkt Sleeve (28279880) to address assembly issue with the E/A Strap not staying properly located prior to pressing the Lwr Mtg Brkt into location. Move the finger on the Spacer Clip and add a notch in the Sleeve. This will allow the finger on the clip to fit into the notch on the sleeve &amp; create a proper orientation of the E/A Strap to the Sleeve. Revise Upper Shroud (28201700) to include pocker for shift lever seal fit. Revise Strg Col Shroud Sets (28314525, 4526) to agree with Upper Shroud.
Release the following P/Ns: T/S &amp; Multifunc Switch Asm (38000531), Dual Stage SIR Coil Asm (38000529), and SIR Coil Asm (38000527)
</t>
  </si>
  <si>
    <t xml:space="preserve">
Revise Coil/Wire Harness Asms (26090779, 26094720) to use new TPA with rattle noise tab.
Change to Strg Column Wiring Asms (26109432, 26126696, 6699, 26132229, 2230, 2231) has been superseded by Product CN 1080581950.
</t>
  </si>
  <si>
    <t xml:space="preserve">
Revise Yoke &amp; Convolute Tube Asms (26073504, 26140702, 26078959, 26078960) to agree with changes to change raw material from European-based steel spec to North American steel spec (allow for both) and to purchase coated tube parts from Tubular Metal Systems in Pinconning.
</t>
  </si>
  <si>
    <t xml:space="preserve">
Engineering release components for K2XX Power T&amp;T ECL. The following parts are being released per this CN: Asm, ECL (28264604), Housing, ECL (28288146), Card Asm, Circuit (28264602).
</t>
  </si>
  <si>
    <t xml:space="preserve">
Revise Strg Col Hsg Supports (26052808, 26083774) from Contech to change material from AA380 aluminum to ADC-12 aluminum.
</t>
  </si>
  <si>
    <t xml:space="preserve">
The strap tolerance for start of the locking teeth is too tight. Current Nexteer Tie Strap print (28201369) shows a 170.1 tolerance. This is changing to a tolerance of 170.1/168.0. Revise print to match supplier print. Two inches of the tie strap is cut off in the production process. Update XTS Rake Actuator Asm (28220735) and Y1XX Tilt Actuator Asm (28204882) to agree with change. Part is currently used in production XTS with no issues.
</t>
  </si>
  <si>
    <t>Ready for Audit 8/21/2014 12:33:27 PM</t>
  </si>
  <si>
    <t>Ready for Audit 8/21/2014 12:33:29 PM</t>
  </si>
  <si>
    <t>Ready for Audit 8/21/2014 12:33:39 PM</t>
  </si>
  <si>
    <t>Ready for Audit 8/21/2014 12:33:46 PM</t>
  </si>
  <si>
    <t xml:space="preserve">
Revise Controller Bracket (28202983) to reduce the hole size that accepts the wire harness clip from 6.4 to 6.0, which will improve retention of the clip. Negligible impact to assembly force. Modify production tool. 
</t>
  </si>
  <si>
    <t>1080584797, 84801</t>
  </si>
  <si>
    <t xml:space="preserve">
 - Revise Strg Col Hsg (Cast) Support (28203300) to A) add material to tilt support to stiffen the ear during machining and improve capability on tilt pin hole position as a countermeasure to lazy tilt; B) add flats to mounting pads, increase draft angle on mounting pads, and add "eyebrow" cut next to adapter plate locator to address processing issues at MTI. 
 - Revise Strg Col Hsg (Mach) Support (28220525) and Strg Col Support Asm (28272676) to agree with the changes.
</t>
  </si>
  <si>
    <t xml:space="preserve">
Revise Column Asm (28307710) to use new shift lever attachment screw 38006375 in place of 26086318. The new screw has a dog point lead in to avoid cross threading.
</t>
  </si>
  <si>
    <t>77</t>
  </si>
  <si>
    <t xml:space="preserve">
Revise Jacket Telescope Clamp (38023548) to reduce the min ID to allow for slighly more draft angle and aid supplier with the issue of castings sticking on the core.
</t>
  </si>
  <si>
    <t>68-3</t>
  </si>
  <si>
    <t xml:space="preserve">
Revise Linear Shift Asm (38010113) to include the Park Position Switch Asm, 38014268, as shipped from Euclid. Supplier to function check switch and verify switch is seated properly as the verification of switch being seated can only effectively be done at the sub-asm level.
</t>
  </si>
  <si>
    <t xml:space="preserve">
 - D1BL - Engineering release I-Shaft Asm (38028059) without a shipping clip. This replaces I-Shaft Asm, 38008775, which had a shipping clip that was going to be used for orientation purposes. This clip is not needed for assembly. Revise Col Asms (38008772, 8774) to use the new I-Shaft Asm.
 - Alpha+/E18/X-352/XTS -  Inactivate and replace Col Asms [Inactivated p/n's (Replacement p/n's)]. New p/n's were released on Product CN 82747 / Plant CN 83832 as part of the grease change. This is just to clean up p/n's: 38012606 (38021505), 28256059 (38021501), 38012601 (38021499), 28267632 (38021503), 28256061 (38021502), 38013985 (38021500), 28256062 (38021504)
</t>
  </si>
  <si>
    <t xml:space="preserve">
Revise Guide Retainer (38010141) to redice the guide crush strength from 9.5KN to 7.5KN based on component capability of PV parts. 
</t>
  </si>
  <si>
    <t xml:space="preserve">
 - Engineering release Man. Tilt Col Asms (38025513, 15, 17, 18, 20, 21, 23, 24) with lead-free Ignition Switch 38008137 (was 26111367) and longer Tie Strap 28201369 (was 26089427). Revise MT Col Asms (38021273, 75, 80, 81, 83, 84, 86, 87) to use new tie strap only. 
 - Engineering release MT&amp;T Col Asms (38025526, 27, 29, 31, 32, 34, 35, 37, 38, 45, 46, 48, 50, 52, 59, 60, 62, 63) with lead-free Ignition Switch 38008137 (was26111367), longer Tie Strap 28201369 (was 26089427), agree with change to Support Asm 38012940 with Support Screw 26036495 (was 26003095), and Closeout Shroud screw torque of 2.0-2.5 (was 1.2-1.7). MT&amp;T Col Asms (38017902, 03, 05, 07, 08, 10, 11, 19, 20, 22, 23, 25, 26, 9799, 98, 1252) have been inactivated and replaced per Product CN 1080584801. 
 - Revise Tele Tube Support Asm (38012940) to use Support Screw 26036495 (was 26003095).
</t>
  </si>
  <si>
    <t xml:space="preserve">
Revise Ignition Switch Asm (38008137) to update dimensional tolerance.
</t>
  </si>
  <si>
    <t xml:space="preserve">
Engineering release Manual Titl &amp; T&amp;T HD SUV Column Asms (38023560, 61, 63, 64) with new shift control asm 38009863 (was 38009864). This change will also include updates to the Col Asms (38013560, 61) for the Retainer Guide to A/R feature change and the clip addition to the wiring asm change.
</t>
  </si>
  <si>
    <t xml:space="preserve">
Revise Strg Col Wiring Asms (38020637, 38, 39, 40, 41) to add Harness Cinch Clip to the sensor breakout that will prevent snagging during handling and installation.
</t>
  </si>
  <si>
    <t xml:space="preserve">
 - Engineering release Tele Tube Support Asm (38029547) &amp; Col Asms (38025565, 66, 68, 70, 71, 74, 75, 77, 78, 80, 81, 83, 84, 86, 88, 89, 91, 92) as part of the change to add retainer guide to A/R feature made on Prod CN 83926 / Plant CN 85274. Col Asms will also include change to Wiring Harnesses made on PCN 400146 that adds a clip to the sensor breakout to prevent snagging. NOTE: Support Asm was going to replace the old Support Asm 38012940 on the Col Asms but was missed. There will be a new Design CN by the PE to make this change.
 - Revise Strg Col Jacket Asm (38023555) to agree with changes made to the Adapter &amp; Brg Asm for the Wiring Asm change on Prod CN 84452 / Plant CN 84908.
 - Inactivate and replace Col Asms. Replacement p/n's were released on Product CN 84184 / PCN 400119. See "Parts Affected for P400149.docx" under the "Reference Items" folder of the PCN.
</t>
  </si>
  <si>
    <t>1080584887, 85010</t>
  </si>
  <si>
    <t xml:space="preserve">
 - Product CN 84887 engineering released Reservoir Capstick Baffles (38028115, 8116) that made changes to the material (note 1) from D2000M3CH708A25 to D200M2DHE036 and remove notes 7 &amp; 8 from 8116 and note 7 from 8115. Product CN 85010 revised the Baffles to change the material from D200M2DHE036 to D2000M3DH708. 
 - Per Product CN 84887, Revise Reservoir Cap Asms (28244382, 28274032) to add Baffle 8116 as optional.
 - Per Product CN 84887, Revise Reservoir Cap Asms (28244384, 38016118) to add Baffle 8115 as optional.
</t>
  </si>
  <si>
    <t>1080584125, 84854</t>
  </si>
  <si>
    <t xml:space="preserve">
 - Per Product CN 84125, engineering release HD Col Asms (38026408, 09, 10, 11), which will be created by putting dual stage SIR coil 28146535 (was 28246051) on existing P/N's 38015908, 09, 10,11. This will not increase the volume but split it between the existing and new columns. Per Product CN 84854, these Col Asms will be revised to use new shift lever screw 38006375 (was 26086318) with a dog point lead-in to to avoid cross threading.
 - Per Product CN 84854, Revise Col Asms (38025647, 48, 49, 50, 51, 52) to use new shift lever screw 38006375 (was 26086318) with a dog point lead-in to avoid cross threading.
</t>
  </si>
  <si>
    <t xml:space="preserve">
Obsolete components in Tracker #178. All components are inactive in the last 5 years. We do not have an open P.O. for any of these, and they are 15 years out of production. Specific tools associated with these components will be obsoleted as well. This is at the request of Plant 6 to free floor space. For Parts Affected, see "Parts Affected for P400176.docx" under "Reference Items" of the PCN.
</t>
  </si>
  <si>
    <t>SCHULZE</t>
  </si>
  <si>
    <t>SCHOENOW
(10.1.14)</t>
  </si>
  <si>
    <t>HOFFMAN
(10.1.14)
WEBSTER</t>
  </si>
  <si>
    <t>STOUTENBURG
(10.8.14)
CASTANON</t>
  </si>
  <si>
    <t>GALLIHUGH
(10.15.14)</t>
  </si>
  <si>
    <t>GALLIHUGH
(11.10.14)</t>
  </si>
  <si>
    <t>WEBSTER
(8.22.14)</t>
  </si>
  <si>
    <t>ARMSTRONG
(9.29.14)
CASTANON
(9.3.14)</t>
  </si>
  <si>
    <t>MCCARTNEY
(10.15.14)</t>
  </si>
  <si>
    <t>WEBSTER
(8.29.14)</t>
  </si>
  <si>
    <t>SCHOENOW
(9.26.14)</t>
  </si>
  <si>
    <t>HOFFMAN
(10.10.14)
WEBSTER</t>
  </si>
  <si>
    <t>STOUTENBURG
(9.26.14)
CASTANON
(10.10.14)</t>
  </si>
  <si>
    <t>GALLIHUGH
(10.17.14)</t>
  </si>
  <si>
    <t>BRACKENS
(10.10.14)</t>
  </si>
  <si>
    <t>GALLIHUGH
(10.24.14)</t>
  </si>
  <si>
    <t>NALAZEK
(7.13.15)
STEWART</t>
  </si>
  <si>
    <t>HOFFMAN
(7.13.15)</t>
  </si>
  <si>
    <t>BRACKENS
(7.27.15)</t>
  </si>
  <si>
    <t>GALLIHUGH
(8.10.15)</t>
  </si>
  <si>
    <t>NALAZEK
(7.13.15)</t>
  </si>
  <si>
    <t>HOFFMAN
(8.10.15)</t>
  </si>
  <si>
    <t>BRACKENS
(8.10.15)</t>
  </si>
  <si>
    <t>GALLIHUGH
(8.24.15)</t>
  </si>
  <si>
    <t>SMITH
(1.5.15)</t>
  </si>
  <si>
    <t>JOHNSON</t>
  </si>
  <si>
    <t>(7.31.14)</t>
  </si>
  <si>
    <t>(6.30.14)</t>
  </si>
  <si>
    <t>(7.18.14)</t>
  </si>
  <si>
    <t>(8.1.14)</t>
  </si>
  <si>
    <t>(7.21.14)</t>
  </si>
  <si>
    <t>(8.4.14)</t>
  </si>
  <si>
    <t>(8.11.14)</t>
  </si>
  <si>
    <t>(7.15.14)</t>
  </si>
  <si>
    <t>(7.25.14)</t>
  </si>
  <si>
    <t>K2XX Tilt, T&amp;T</t>
  </si>
  <si>
    <t>K2XX Tilt</t>
  </si>
  <si>
    <t>8/28/14 - No status in PMD for 0527 &amp; 0529 (GM directed buy)</t>
  </si>
  <si>
    <t>8/28/14 - 26136533 at rev 005 in PMD, needs to be at 011</t>
  </si>
  <si>
    <t>8/28/14 - 3504 no PMD entry (ver 90?), 2684 no entry in PMD, 0702 nothing for rev 004 in PMD, 8459 no entry in PMD, 8960 no entry in PMD</t>
  </si>
  <si>
    <t>8/28/14 - 26140674 nothing in PMD</t>
  </si>
  <si>
    <t>8/28/14 - 26057315 at rev 055, nothing for 056 in PMD, 26057323 at rev 062, nothing for 063 in PMD</t>
  </si>
  <si>
    <t>8/28/14 - 0779 at rev 017, nothing for 018 in PMD</t>
  </si>
  <si>
    <t>8/28/14 - 0735 at rev 017, nothing for rev 027 in PMD</t>
  </si>
  <si>
    <t>8/28/14 - SiMon can sign off on</t>
  </si>
  <si>
    <t>8/28/14 - 0737 at rev 020 &amp; no status for rev 025, 5970 at rev 020 &amp; no status for rev 025, 4878 at rev 019, no status for rev 025</t>
  </si>
  <si>
    <t>C:\Documents and Settings\vzl77v\Desktop\PLM Junk\Product</t>
  </si>
  <si>
    <t>PCN_checklist_P400202</t>
  </si>
  <si>
    <t>PCN_checklist_P400203</t>
  </si>
  <si>
    <t>PCN_checklist_P400208</t>
  </si>
  <si>
    <t>PCN_checklist_P400239</t>
  </si>
  <si>
    <t>PCN_checklist_P400245</t>
  </si>
  <si>
    <t>PCN_checklist_P400247</t>
  </si>
  <si>
    <t>Ready for Audit 9/11/2014 12:13:09 PM</t>
  </si>
  <si>
    <t>Ready for Audit 9/11/2014 12:13:10 PM</t>
  </si>
  <si>
    <t>Ready for Audit 9/11/2014 12:13:11 PM</t>
  </si>
  <si>
    <t>Ready for Audit 9/11/2014 12:13:15 PM</t>
  </si>
  <si>
    <t xml:space="preserve">
 - Revise I-Shaft Asms (38018618, 20, 38020757) to decrease the slider length by 4mm on RWD versions. Revise Alpha Power Col Asms (38020018, 19, 28, 29, 0760, 61) &amp; Alpha Manual Col Asms (38020021, 22, 24, 25, 0758, 59) to agree.
 - Revise I-Shaft Asm (38018619) to add 4 keys to the slider on AWD versions to decrease lash to isolator. Revise Alpha Power Col Asms (38020026, 27) &amp; Alpha Manual Col Asms (38020020, 23) to agree. 
 - NOTE: This CN will also include the initial release of these part numbers that was covered on Product CN 83916 (Plant CNs 84817 &amp; 84819); these Plant CNs will be cancelled.
</t>
  </si>
  <si>
    <t>1080584323, 84537, 84970</t>
  </si>
  <si>
    <t xml:space="preserve">
Revise Upper Rotor Magnet (38016065) to to increase the irreviersible flux loss to 4.5% which the supplier has agreed to. Previous requirements has never been agreed to by the supplier.
</t>
  </si>
  <si>
    <t xml:space="preserve">
 - Revise Upper Shaft (38014401) to make manufacturing drawing changes/clarifications, which include A) drawing clarification for 48 tooth spline (reference angle added), B) bearing shoulder location stack improved by locating from end of shaft, and C) spline pass-through gage distance changed.
 - Revise Strg Col Shaft Asm (38014402) to agree with changes to Upper Shaft 38014401and to change note for minimum shaft pull apart load from 65N to 450N.
</t>
  </si>
  <si>
    <t xml:space="preserve">
Revise Flange &amp; Coupling Asm (28314616) to use OILES centering bushing 38024002 (was St. Gobain bushing 28276412). Revise Inter Strg (Reqt) Shaft Asms (28314617, 38029107), Strg (Painted) Coupling Asm (38029108), &amp; Boot &amp; Inter Strg Shaft Asm (38021909) to agree. Revise Inter Strg (Reqt) Shaft Asm (38027035) to agree iwth bushing change &amp; paint removal on inner ring of DCCV joint (Plt 68).
</t>
  </si>
  <si>
    <t xml:space="preserve">
Engineering release I-Shaft Asm (38029775) that will use spacer clip 38020865 (was 26082899), common with K2XX. This will replace I-shaft Asm 26135770. Use and deplete existing stock.
</t>
  </si>
  <si>
    <t xml:space="preserve">
Resource G/S Lever Asm Support Bracket 26114205 from Contech to Key 3 Castings. Due to traceability, engineering release (38023084), which will replace 26114205. This will reduce our dependence on Contech and alleviate potential capacity constraints. Need clean breakpoint.
</t>
  </si>
  <si>
    <t>92, 89</t>
  </si>
  <si>
    <t>HARDY
(10.10.14)</t>
  </si>
  <si>
    <t>KELLETT
(10.10.14)</t>
  </si>
  <si>
    <t>WEBSTER
(10.10.14)</t>
  </si>
  <si>
    <t xml:space="preserve">MAURER
(10.31.14)
</t>
  </si>
  <si>
    <t>MCCARTNEY
(11.14.14)</t>
  </si>
  <si>
    <t>STOUTENBURG
(7.18.14)</t>
  </si>
  <si>
    <t>STOUTENBURG
(7.21.14)</t>
  </si>
  <si>
    <t>BRACKENS
(11.1.14)</t>
  </si>
  <si>
    <t>FIELD
(11.30.14)</t>
  </si>
  <si>
    <t>SCHENOW
(11.30.14)</t>
  </si>
  <si>
    <t>HOFFMAN
(1.15.15)
WEBSTER</t>
  </si>
  <si>
    <t>STOUTENBURG
(12.15.14)
CASTANON</t>
  </si>
  <si>
    <t>GALLIHUGH
(1.22.15)</t>
  </si>
  <si>
    <t>STEWART</t>
  </si>
  <si>
    <t>SMITH</t>
  </si>
  <si>
    <t>BITZER</t>
  </si>
  <si>
    <t>THIEL
(11.7.14)</t>
  </si>
  <si>
    <t>HATFIELD
(12.5.14)</t>
  </si>
  <si>
    <t>GMT-800</t>
  </si>
  <si>
    <t>GMT-900
Service</t>
  </si>
  <si>
    <t>Epsilon II</t>
  </si>
  <si>
    <t>K2XX MT / MT&amp;T</t>
  </si>
  <si>
    <t>D1BL</t>
  </si>
  <si>
    <t>GMX-211</t>
  </si>
  <si>
    <t>K2XX Man</t>
  </si>
  <si>
    <t>Ford P552 / 558</t>
  </si>
  <si>
    <t>Alpha / Holden</t>
  </si>
  <si>
    <t>Alpha / 352 / Holden</t>
  </si>
  <si>
    <t>A1XC (Camaro)</t>
  </si>
  <si>
    <t>P400119</t>
  </si>
  <si>
    <t xml:space="preserve">
CANCELLED: Engineering release Hybrid Col Asms (38025699, 5700, 01, 02, 03), Power Col Asms (38025704, 05, 28, 29, 30, 31, 32, 33), Tilt F/S Col Asm (38025724), &amp; Tilt C/S Col Asms (38025706, 07, 08, 09, 10, 11, 12, 13, 14, 15, 16, 17, 18, 19, 20, 21, 22, 23, 25) that will use lead-free Ignition Switch 38008137 (was 26111367).
</t>
  </si>
  <si>
    <t>STEWART
NALAZEK</t>
  </si>
  <si>
    <t>BELLINGER
BELANGER</t>
  </si>
  <si>
    <t>BASKINS</t>
  </si>
  <si>
    <t>BRACKENS
STOUTENBURG</t>
  </si>
  <si>
    <t>HATFIELD
ROKOSZ</t>
  </si>
  <si>
    <t/>
  </si>
  <si>
    <t>P400093</t>
  </si>
  <si>
    <t>Ready for Audit 9/18/2014 1:01:32 PM</t>
  </si>
  <si>
    <t>ZELENIUK
(11.7.14)</t>
  </si>
  <si>
    <t>ARMSTRONG
(11.7.14)</t>
  </si>
  <si>
    <t>HATFIELD
(11.21.14)</t>
  </si>
  <si>
    <t>PCN_checklist_P400249</t>
  </si>
  <si>
    <t>Ready for Audit 9/22/2014 9:20:21 AM</t>
  </si>
  <si>
    <t xml:space="preserve">
Revise Upper Shaft (38005889) to shorten the scribe line and move serialization to the end of the tube per ME request.
</t>
  </si>
  <si>
    <t>PCN_checklist_P400311</t>
  </si>
  <si>
    <t xml:space="preserve">
Per Plant 6 request, engineering release Lower Shaft (38025735) for OP 10. This is to be used as a routing only.
</t>
  </si>
  <si>
    <t>PCN_checklist_P400320</t>
  </si>
  <si>
    <t>PCN_checklist_P400321</t>
  </si>
  <si>
    <t>PCN_checklist_P400323</t>
  </si>
  <si>
    <t xml:space="preserve">
 + Revise Upper Shaft (28302947) to change delivery condition &amp; rust prevention from Spec 26116429 to 5% max red rust after 24 hrs humidity per ASTM D2247 and change thread pitch gage distance from 5 min to 11 min. Revise Strg Col Shaft Asm (28304327) to agree with changes. 
 + Revise Upper Shaft (38022006) to change thread pitch gage distance from 5 min to 11 min. Revise Strg Col Shaft Asm (38022107) to agree with changes. 
</t>
  </si>
  <si>
    <t>50, 60, 62</t>
  </si>
  <si>
    <t xml:space="preserve">
Revise Telescope Bushing (38022269) to prevent material from exiting the location feature hole and change dimensions for location of one injection track.
</t>
  </si>
  <si>
    <t xml:space="preserve">
Revise Upper &amp; Lower Jacket Asm (38018224) and Strg Col Shaft Asm (38010505) to reference max range of use dimension due to the E/A Strap that controls tele travel not being assembled at this operation on the Jacket Asm and no hard limit on the Shaft Asm. Also, remove Lower Jacket p/n from print that was called out when applying lubricant to cover internal bore. 
</t>
  </si>
  <si>
    <t>VANTOL
(10.31.14)</t>
  </si>
  <si>
    <t>KOSS
(11.21.14)</t>
  </si>
  <si>
    <t>P400117</t>
  </si>
  <si>
    <t>ARMSTRONG
(11.21.14)</t>
  </si>
  <si>
    <t>COOK
(10.31.14)
JOHNSON
PIWOWARSKI
(10.17.14)</t>
  </si>
  <si>
    <t>ZELENIUK
(11.24.14)</t>
  </si>
  <si>
    <t>ARMSTRONG
(11.17.14)
KOSS</t>
  </si>
  <si>
    <t>HATFIELD
(12.8.14)</t>
  </si>
  <si>
    <t>10/2/14 - Art working on, will have done by 10/24</t>
  </si>
  <si>
    <t>10/2/14 - Art thinks he signed off on</t>
  </si>
  <si>
    <t>10/2/14 - George working on, needs (2) short ones for dimensions, will need a couple of weeks to complete</t>
  </si>
  <si>
    <t>10/2/14 - Needs to talk to Thiel about pinch bolt change, will need a couple of weeks to complete</t>
  </si>
  <si>
    <t>10/2/14 - John states Product wants to do validation, so John will submit to rev 018 tomorrow</t>
  </si>
  <si>
    <t>PCN_checklist_P400367</t>
  </si>
  <si>
    <t>PCN_checklist_P400370</t>
  </si>
  <si>
    <t xml:space="preserve">
Engineering release Upper Rotor Magnet (38013594) (was 28272792) with reduced Dy percentage to reduce the cost of the upper rotor assembly. Engineering release Upper Rotor Asm (38013595) (was 38011671) that will use this new magnet.
</t>
  </si>
  <si>
    <t xml:space="preserve">
Revise Shaft Tube Blanks (26054574, 26115686) to remove (4) dimensions that were left on the print after adding deail B. These (4) dimensions are now shown twice and are being removed to avoid confusion. No impact on fit, form, or function.
</t>
  </si>
  <si>
    <t>50, 57-2</t>
  </si>
  <si>
    <t>PCN_checklist_P400384</t>
  </si>
  <si>
    <t xml:space="preserve">
Engineering release saleable Col Asms (38200121, 0122 replacing 38030036, 0037), Level 01 Col Asms (38200125, 0126 replacing 38030038, 0039), I-Shaft Asm (38200127 replacing 38030040), and ID Labels (38200128, 0129 replacing 38030041, 0042) due to the directed buy I-Shaft changing the FOD Seal by filling in the learger convolute with rubber to add stiffness to allow the seal to be seated with a tool at the Asm plant and to paint the compartment side lip of the seal with yellow paint for visibility.
</t>
  </si>
  <si>
    <t>COOK
(11.7.14)</t>
  </si>
  <si>
    <t>10/9 - Change date to December 1st per M. Bladecki</t>
  </si>
  <si>
    <t>10/9/14 - Ed Krejci requested date be moved out b/c PPAP isn't due utnil mid-October</t>
  </si>
  <si>
    <t>P400116</t>
  </si>
  <si>
    <t>P400118</t>
  </si>
  <si>
    <t>P400142</t>
  </si>
  <si>
    <t>P400146</t>
  </si>
  <si>
    <t>Ready for Audit 10/10/2014 4:26:10 PM</t>
  </si>
  <si>
    <t>Ready for Audit 10/10/2014 4:26:11 PM</t>
  </si>
  <si>
    <t>Ready for Audit 10/10/2014 4:26:12 PM</t>
  </si>
  <si>
    <t>WEBSTER
(9.29.14)</t>
  </si>
  <si>
    <t>WEBSTER
(10.23.14)</t>
  </si>
  <si>
    <t>CASTANON
(10.23.14)</t>
  </si>
  <si>
    <t>WEBSTER
(10.13.14)</t>
  </si>
  <si>
    <t>CASTANON
(10.13.14)</t>
  </si>
  <si>
    <t>10/14/14 - Thiel - P/N 7035 waiting for Plt 7 Yoke</t>
  </si>
  <si>
    <t xml:space="preserve">10/14/14- Thiel needs 5440 (shorter dumbell) </t>
  </si>
  <si>
    <t>10/14/14 - Thiel needs Plt 7 Yoke, will run Feb 15, P/N 7035 issue</t>
  </si>
  <si>
    <t>PCN_checklist_P400409</t>
  </si>
  <si>
    <t>P400110</t>
  </si>
  <si>
    <t>Ready for Audit 10/16/2014 12:24:48 PM</t>
  </si>
  <si>
    <t>Ready for Audit 10/16/2014 12:24:50 PM</t>
  </si>
  <si>
    <t>Ready for Audit 10/16/2014 12:24:51 PM</t>
  </si>
  <si>
    <t>Ready for Audit 10/16/2014 12:24:52 PM</t>
  </si>
  <si>
    <t>Ready for Audit 10/16/2014 12:24:54 PM</t>
  </si>
  <si>
    <t>Ready for Audit 10/16/2014 12:24:55 PM</t>
  </si>
  <si>
    <t xml:space="preserve">
 + Revise Bearing &amp; Shaft Asm (26141161) to use large OD bearing steering shaft bearing retainer, 38021963 (was 26133861), to provide retention loads above 4 kN. Revise Shaft &amp; Jacket Asm (26141150) to agree with change.
 + Engineering release Base Col Asm (38029950), replaces 26141137, and Saleable Col Asms (38029951, 52), replaces 28276195, 38003579. The old P/N's are being inactivated.
</t>
  </si>
  <si>
    <t>TRACHSEL
(10.24.14)</t>
  </si>
  <si>
    <t>PIWOWARSKI
(10.17.14)
COOK
(10.24.14)</t>
  </si>
  <si>
    <t>THIEL
(2.1.15)</t>
  </si>
  <si>
    <t>WEBSTER
(2.8.15)
ZELENIUK</t>
  </si>
  <si>
    <t>KOSS
(2.8.15)
CASTANON
(11.21.14)</t>
  </si>
  <si>
    <t>GEMBROWSKI
(11.24.14)</t>
  </si>
  <si>
    <t>ZELENIUK
(12.15.14)</t>
  </si>
  <si>
    <t>KOSS
(12.15.14)</t>
  </si>
  <si>
    <t>HARDY
(1.5.15)</t>
  </si>
  <si>
    <t>ZELENIUK
(1.19.15)</t>
  </si>
  <si>
    <t>TRACHSEL
(1.19.14)</t>
  </si>
  <si>
    <t>SCHOENOW
(11.24.14)</t>
  </si>
  <si>
    <t>HOFFMAN
(10.20.14)</t>
  </si>
  <si>
    <t>STOUTENBURG
(12.5.14)
CASTANON
(11.21.14)</t>
  </si>
  <si>
    <t>BRACKENS
CASTANON
MOLNAR</t>
  </si>
  <si>
    <t>ZELENIUK
(2.15.15)</t>
  </si>
  <si>
    <t>KOSS
(2.15.15)
CASTANON</t>
  </si>
  <si>
    <t>BRACKENS
(9.12.14)</t>
  </si>
  <si>
    <t>PCN_checklist_P400411</t>
  </si>
  <si>
    <t xml:space="preserve">
Revise Telescoping Bushing (38022009) to modify ID interface pads of telebushing for improved fit between jackets. Add interface bumps on telebushing pads for improved natural frequency.
</t>
  </si>
  <si>
    <t>KREJCI
(10.27.14)</t>
  </si>
  <si>
    <t>TRACHSEL
(11.17.14)</t>
  </si>
  <si>
    <t>PCN_checklist_P400413</t>
  </si>
  <si>
    <t>Ready for Audit 10/17/2014 4:43:31 PM</t>
  </si>
  <si>
    <t xml:space="preserve">
Revise Bearing &amp; Shaft Asms (28284706, 28308579, 8582) to use large OD strg shaft bearing retainer 38021963 (was26133861).
Engineering release Shaft &amp; Jacket Asms (38029947, 9948, 9949) and Strap Lock &amp; Jacket Asms (38201212, 1226, 1232) to agree with change for retainer.
</t>
  </si>
  <si>
    <t>SCHOTT
(7.13.15)</t>
  </si>
  <si>
    <t>NALAZEK</t>
  </si>
  <si>
    <t>BELANGER</t>
  </si>
  <si>
    <t>Ready for Audit 10/23/2014 1:15:56 PM</t>
  </si>
  <si>
    <t>Ready for Audit 10/23/2014 1:15:58 PM</t>
  </si>
  <si>
    <t>PCN_checklist_P400434</t>
  </si>
  <si>
    <t>PCN_checklist_P400435</t>
  </si>
  <si>
    <t>Ready for Audit 10/24/2014 4:09:00 PM</t>
  </si>
  <si>
    <t xml:space="preserve">
Revise Lower Shaft (38014399) to make plant requested chamfer tolerance change to one decimal place.  Revise Lower Shaft Asm (38014400) for overmold plastic lead-in dimension to change to reference. (Same as other CBP shafts) and to agree with change to 4399 Shaft. Revise Strg Col Shaft Asm (38014402) to agree with 4400 Shaft Asm.
</t>
  </si>
  <si>
    <t>60, 71</t>
  </si>
  <si>
    <t>PIWOWARSKI
(11.10.14)
COOK
(11.17.14)</t>
  </si>
  <si>
    <t>ARMSTRONG
(12.1.14)</t>
  </si>
  <si>
    <t>(9.26.14)</t>
  </si>
  <si>
    <t>(10.10.14)</t>
  </si>
  <si>
    <t>43, 63</t>
  </si>
  <si>
    <t>NALAZEK
(12.1.14)</t>
  </si>
  <si>
    <t>HOFFMAN
(12.1.14)</t>
  </si>
  <si>
    <t>BRACKENS
(12.15.14)</t>
  </si>
  <si>
    <t>KOSS
STOUTENBURG</t>
  </si>
  <si>
    <t>(10.17.14)</t>
  </si>
  <si>
    <t>P400028</t>
  </si>
  <si>
    <t xml:space="preserve">
 + Engineering release Bearing &amp; Shaft Asms (38027797, 38202174, 2178) that will no longer use the 26133861 Bearing Retainer (no-back washer) with metal bearing applications. Engineering release Shaft &amp; Jkt Asms (38027795, 38202175, 2179),  Jkt &amp; (ECL) Brkt Asm (38027793), and Strap Lock &amp; Jkt Asm (38202176, 2180) that agree with this change. Engineering release Base Col Asms (38027789, 91, 38202177, 2181) and Col Asms w/ I-Shaft (38017888, 7891, 38020019, 0020, 0021, 0022, 0023, 0024, 0025, 0026, 0028, 0758, 0759, 0760, 7724, 7727, 7782, 7785, 7787, 7828, 7829, 7830, 7831, 7832, 7833).
 + Engineering release Bearing &amp; Shaft Asms (38027796, 38202080) that will use the large OD Bearing Retainer (no-back washer) 38021963 (32.5 mm OD) in place of 26133861 (26.0 mm OD) with plastic bearing applications. Engineering release Shaft &amp; Jkt Asms (38027794, 38202081), Jkt &amp; Brkt Asm (38027792), and Strap Lock &amp; Jkt Asm (38202090) that agree with this change. Engineering release Base Col Asms (28027788, 90, 38202091) and Col Asms w/ I-Shaft (38020018, 0027, 0029, 0761, 7723, 7725, 7726, 7783, 7784, 7786, 7827)
 + Engineering release Service Power R&amp;T Col Asms (38027798, 7799)
</t>
  </si>
  <si>
    <t>MCCARTNEY
(11.17.14)</t>
  </si>
  <si>
    <t>FIELD
(11.17.14)</t>
  </si>
  <si>
    <t>SCHOENOW
(11.7.14)</t>
  </si>
  <si>
    <t>HOFFMAN
(10.31.14)</t>
  </si>
  <si>
    <t>STOUTENBURG
(11.24.14)</t>
  </si>
  <si>
    <t>FIELD
(12.15.14)</t>
  </si>
  <si>
    <t>HOFFMAN
(11.7.14)</t>
  </si>
  <si>
    <t>STOUTENBURG
(1.5.15)</t>
  </si>
  <si>
    <t>SCHOENOW
(12.15.14)</t>
  </si>
  <si>
    <t>HOFFMAN
(12.15.14)</t>
  </si>
  <si>
    <t>(10.13.14)</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</si>
</sst>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
    <numFmt numFmtId="165" formatCode="#"/>
    <numFmt numFmtId="166" formatCode="0;[Red]0"/>
    <numFmt numFmtId="167" formatCode="m/d/yy;@"/>
    <numFmt numFmtId="168" formatCode="yyyy\-mm\-dd"/>
  </numFmts>
  <fonts count="19" x14ac:knownFonts="1">
    <font>
      <sz val="10"/>
      <name val="Arial"/>
    </font>
    <font>
      <sz val="12"/>
      <name val="Arial"/>
      <family val="2"/>
    </font>
    <font>
      <u/>
      <sz val="12"/>
      <color indexed="12"/>
      <name val="Arial"/>
      <family val="2"/>
    </font>
    <font>
      <sz val="8"/>
      <name val="Arial"/>
      <family val="2"/>
    </font>
    <font>
      <sz val="8"/>
      <color indexed="81"/>
      <name val="Tahoma"/>
      <family val="2"/>
    </font>
    <font>
      <b/>
      <sz val="8"/>
      <color indexed="81"/>
      <name val="Tahoma"/>
      <family val="2"/>
    </font>
    <font>
      <sz val="10"/>
      <name val="Arial"/>
      <family val="2"/>
    </font>
    <font>
      <sz val="18"/>
      <name val="Arial"/>
      <family val="2"/>
    </font>
    <font>
      <b/>
      <sz val="12"/>
      <name val="Arial"/>
      <family val="2"/>
    </font>
    <font>
      <b/>
      <sz val="14"/>
      <name val="Arial"/>
      <family val="2"/>
    </font>
    <font>
      <b/>
      <sz val="20"/>
      <name val="Arial"/>
      <family val="2"/>
    </font>
    <font>
      <b/>
      <sz val="12"/>
      <color indexed="47"/>
      <name val="Arial"/>
      <family val="2"/>
    </font>
    <font>
      <sz val="12"/>
      <color indexed="10"/>
      <name val="Arial"/>
      <family val="2"/>
    </font>
    <font>
      <b/>
      <sz val="20"/>
      <color indexed="10"/>
      <name val="Arial"/>
      <family val="2"/>
    </font>
    <font>
      <b/>
      <sz val="12"/>
      <color indexed="81"/>
      <name val="Tahoma"/>
      <family val="2"/>
    </font>
    <font>
      <sz val="12"/>
      <color indexed="81"/>
      <name val="Tahoma"/>
      <family val="2"/>
    </font>
    <font>
      <u/>
      <sz val="10"/>
      <color indexed="12"/>
      <name val="Arial"/>
      <family val="2"/>
    </font>
    <font>
      <sz val="14"/>
      <name val="Arial"/>
      <family val="2"/>
    </font>
    <font>
      <sz val="16"/>
      <name val="Arial"/>
      <family val="2"/>
    </font>
  </fonts>
  <fills count="9">
    <fill>
      <patternFill patternType="none"/>
    </fill>
    <fill>
      <patternFill patternType="gray125"/>
    </fill>
    <fill>
      <patternFill patternType="solid">
        <fgColor indexed="52"/>
        <bgColor indexed="64"/>
      </patternFill>
    </fill>
    <fill>
      <patternFill patternType="solid">
        <fgColor rgb="FF00FF0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indexed="13"/>
        <bgColor indexed="64"/>
      </patternFill>
    </fill>
    <fill>
      <patternFill patternType="solid">
        <fgColor indexed="6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14" fontId="1" fillId="3" borderId="1">
      <alignment horizontal="center" vertical="center" wrapText="1"/>
    </xf>
    <xf numFmtId="0" fontId="2" fillId="0" borderId="0" applyNumberFormat="0" applyFill="0" applyBorder="0" applyAlignment="0" applyProtection="0">
      <alignment vertical="top"/>
      <protection locked="0"/>
    </xf>
    <xf numFmtId="0" fontId="6" fillId="0" borderId="0"/>
  </cellStyleXfs>
  <cellXfs count="196">
    <xf numFmtId="0" fontId="0" fillId="0" borderId="0" xfId="0"/>
    <xf numFmtId="0" fontId="1" fillId="0" borderId="0" xfId="0" applyFont="1"/>
    <xf numFmtId="0" fontId="1" fillId="0" borderId="0" xfId="0" applyFont="1" applyFill="1" applyAlignment="1">
      <alignment horizontal="center"/>
    </xf>
    <xf numFmtId="0" fontId="1" fillId="0" borderId="0" xfId="0" applyFont="1" applyAlignment="1">
      <alignment horizontal="center"/>
    </xf>
    <xf numFmtId="49" fontId="1" fillId="0" borderId="0" xfId="0" applyNumberFormat="1" applyFont="1"/>
    <xf numFmtId="14" fontId="0" fillId="0" borderId="0" xfId="0" applyNumberFormat="1" applyAlignment="1">
      <alignment horizontal="center"/>
    </xf>
    <xf numFmtId="0" fontId="0" fillId="0" borderId="0" xfId="0" applyAlignment="1">
      <alignment horizontal="center"/>
    </xf>
    <xf numFmtId="0" fontId="0" fillId="0" borderId="2" xfId="0" applyBorder="1" applyAlignment="1">
      <alignment horizontal="center"/>
    </xf>
    <xf numFmtId="14" fontId="0" fillId="0" borderId="3" xfId="0" applyNumberFormat="1" applyBorder="1" applyAlignment="1">
      <alignment horizontal="center"/>
    </xf>
    <xf numFmtId="0" fontId="0" fillId="0" borderId="2" xfId="0" applyBorder="1" applyAlignment="1">
      <alignment wrapText="1"/>
    </xf>
    <xf numFmtId="0" fontId="0" fillId="0" borderId="3" xfId="0" applyBorder="1" applyAlignment="1">
      <alignment wrapText="1"/>
    </xf>
    <xf numFmtId="0" fontId="0" fillId="0" borderId="0" xfId="0" applyAlignment="1">
      <alignment wrapText="1"/>
    </xf>
    <xf numFmtId="0" fontId="0" fillId="0" borderId="4" xfId="0" applyBorder="1" applyAlignment="1">
      <alignment wrapText="1"/>
    </xf>
    <xf numFmtId="0" fontId="0" fillId="0" borderId="0" xfId="0" applyBorder="1" applyAlignment="1">
      <alignment horizontal="center"/>
    </xf>
    <xf numFmtId="0" fontId="0" fillId="0" borderId="0" xfId="0" applyBorder="1" applyAlignment="1">
      <alignment wrapText="1"/>
    </xf>
    <xf numFmtId="14" fontId="0" fillId="0" borderId="4" xfId="0" applyNumberFormat="1" applyBorder="1" applyAlignment="1">
      <alignment horizontal="center"/>
    </xf>
    <xf numFmtId="0" fontId="1" fillId="0" borderId="1" xfId="0" applyFont="1" applyFill="1" applyBorder="1" applyAlignment="1">
      <alignment horizontal="center" vertical="center" wrapText="1"/>
    </xf>
    <xf numFmtId="164" fontId="1" fillId="0" borderId="1" xfId="0" applyNumberFormat="1" applyFont="1" applyFill="1" applyBorder="1" applyAlignment="1">
      <alignment horizontal="center" vertical="center" wrapText="1"/>
    </xf>
    <xf numFmtId="0" fontId="1" fillId="0" borderId="1" xfId="0" applyFont="1" applyFill="1" applyBorder="1" applyAlignment="1">
      <alignment horizontal="center" vertical="center"/>
    </xf>
    <xf numFmtId="14" fontId="1" fillId="0" borderId="1" xfId="0" applyNumberFormat="1" applyFont="1" applyFill="1" applyBorder="1" applyAlignment="1">
      <alignment horizontal="center" vertical="center" wrapText="1"/>
    </xf>
    <xf numFmtId="0" fontId="1" fillId="0" borderId="0" xfId="0" applyFont="1" applyFill="1"/>
    <xf numFmtId="14" fontId="1" fillId="0" borderId="0" xfId="0" applyNumberFormat="1" applyFont="1"/>
    <xf numFmtId="14" fontId="1" fillId="0" borderId="1" xfId="0" applyNumberFormat="1" applyFont="1" applyFill="1" applyBorder="1" applyAlignment="1">
      <alignment horizontal="center" vertical="center"/>
    </xf>
    <xf numFmtId="0" fontId="7" fillId="0" borderId="0" xfId="0" applyFont="1" applyFill="1" applyAlignment="1">
      <alignment horizontal="center"/>
    </xf>
    <xf numFmtId="1" fontId="1" fillId="0" borderId="1" xfId="0" applyNumberFormat="1" applyFont="1" applyFill="1" applyBorder="1" applyAlignment="1">
      <alignment horizontal="center" vertical="center" wrapText="1"/>
    </xf>
    <xf numFmtId="0" fontId="1" fillId="0" borderId="0" xfId="0" applyFont="1" applyAlignment="1">
      <alignment horizontal="center" textRotation="90"/>
    </xf>
    <xf numFmtId="166" fontId="1" fillId="0" borderId="0" xfId="0" applyNumberFormat="1" applyFont="1" applyAlignment="1">
      <alignment horizontal="center"/>
    </xf>
    <xf numFmtId="0" fontId="1" fillId="0" borderId="0" xfId="0" applyFont="1" applyFill="1" applyAlignment="1">
      <alignment horizontal="right"/>
    </xf>
    <xf numFmtId="49" fontId="1" fillId="0" borderId="0" xfId="0" applyNumberFormat="1" applyFont="1" applyFill="1"/>
    <xf numFmtId="14" fontId="1" fillId="0" borderId="0" xfId="0" applyNumberFormat="1" applyFont="1" applyFill="1"/>
    <xf numFmtId="1" fontId="1" fillId="0" borderId="0" xfId="0" applyNumberFormat="1" applyFont="1" applyFill="1" applyAlignment="1">
      <alignment horizontal="center"/>
    </xf>
    <xf numFmtId="0" fontId="0" fillId="0" borderId="0" xfId="0" applyAlignment="1">
      <alignment horizontal="right"/>
    </xf>
    <xf numFmtId="0" fontId="9" fillId="0" borderId="0" xfId="0" applyFont="1"/>
    <xf numFmtId="0" fontId="0" fillId="0" borderId="1" xfId="0" applyBorder="1"/>
    <xf numFmtId="14" fontId="9" fillId="4" borderId="1" xfId="0" applyNumberFormat="1" applyFont="1" applyFill="1" applyBorder="1" applyAlignment="1">
      <alignment horizontal="center"/>
    </xf>
    <xf numFmtId="0" fontId="9" fillId="4" borderId="1" xfId="0" applyFont="1" applyFill="1" applyBorder="1" applyAlignment="1">
      <alignment horizontal="left"/>
    </xf>
    <xf numFmtId="0" fontId="0" fillId="5" borderId="0" xfId="0" applyFill="1"/>
    <xf numFmtId="0" fontId="1" fillId="0" borderId="1" xfId="0" applyFont="1" applyBorder="1"/>
    <xf numFmtId="0" fontId="1" fillId="0" borderId="1" xfId="0" applyFont="1" applyBorder="1" applyAlignment="1">
      <alignment horizontal="center"/>
    </xf>
    <xf numFmtId="0" fontId="6" fillId="0" borderId="0" xfId="0" applyFont="1" applyAlignment="1">
      <alignment horizontal="right"/>
    </xf>
    <xf numFmtId="0" fontId="0" fillId="0" borderId="0" xfId="0" applyFill="1"/>
    <xf numFmtId="1" fontId="1" fillId="0" borderId="1" xfId="0" applyNumberFormat="1" applyFont="1" applyFill="1" applyBorder="1" applyAlignment="1">
      <alignment horizontal="center" vertical="center"/>
    </xf>
    <xf numFmtId="0" fontId="13" fillId="0" borderId="0" xfId="0" applyFont="1" applyFill="1" applyBorder="1" applyAlignment="1">
      <alignment vertical="center" wrapText="1"/>
    </xf>
    <xf numFmtId="0" fontId="1" fillId="0" borderId="0" xfId="0" applyFont="1" applyFill="1" applyBorder="1" applyAlignment="1">
      <alignment horizontal="center"/>
    </xf>
    <xf numFmtId="14" fontId="1" fillId="0" borderId="0" xfId="0" applyNumberFormat="1" applyFont="1" applyFill="1" applyBorder="1" applyAlignment="1">
      <alignment horizontal="center"/>
    </xf>
    <xf numFmtId="0" fontId="1" fillId="0" borderId="0" xfId="0" applyFont="1" applyFill="1" applyBorder="1"/>
    <xf numFmtId="0" fontId="1" fillId="0" borderId="0" xfId="0" applyFont="1" applyFill="1" applyBorder="1" applyAlignment="1">
      <alignment horizontal="center" textRotation="90"/>
    </xf>
    <xf numFmtId="0" fontId="2" fillId="0" borderId="0" xfId="2" applyFont="1" applyFill="1" applyBorder="1" applyAlignment="1" applyProtection="1">
      <alignment horizontal="center" vertical="center" wrapText="1"/>
    </xf>
    <xf numFmtId="14" fontId="1" fillId="0" borderId="0" xfId="0" applyNumberFormat="1" applyFont="1" applyFill="1" applyBorder="1" applyAlignment="1">
      <alignment horizontal="center" vertical="center" wrapText="1"/>
    </xf>
    <xf numFmtId="14" fontId="8" fillId="0" borderId="0" xfId="0" applyNumberFormat="1" applyFont="1" applyFill="1" applyBorder="1" applyAlignment="1">
      <alignment horizontal="center" vertical="center" wrapText="1"/>
    </xf>
    <xf numFmtId="0" fontId="8" fillId="0" borderId="0" xfId="0" applyFont="1" applyFill="1" applyBorder="1" applyAlignment="1">
      <alignment horizontal="center" vertical="center" wrapText="1"/>
    </xf>
    <xf numFmtId="0" fontId="2" fillId="0" borderId="0" xfId="2" applyFill="1" applyBorder="1" applyAlignment="1" applyProtection="1">
      <alignment horizontal="center" vertical="center" wrapText="1"/>
    </xf>
    <xf numFmtId="0" fontId="1" fillId="0" borderId="0" xfId="0" applyFont="1" applyFill="1" applyBorder="1" applyAlignment="1">
      <alignment horizontal="center" vertical="center" wrapText="1"/>
    </xf>
    <xf numFmtId="1" fontId="1"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14" fontId="1" fillId="0" borderId="0" xfId="0" applyNumberFormat="1" applyFont="1" applyFill="1" applyBorder="1" applyAlignment="1">
      <alignment horizontal="center" vertical="center"/>
    </xf>
    <xf numFmtId="0" fontId="6" fillId="0" borderId="0" xfId="0" applyFont="1" applyFill="1" applyBorder="1" applyAlignment="1">
      <alignment horizontal="center" vertical="center" wrapText="1"/>
    </xf>
    <xf numFmtId="0" fontId="12" fillId="0" borderId="0" xfId="0" applyFont="1" applyFill="1" applyBorder="1" applyAlignment="1">
      <alignment horizontal="center" vertical="center" wrapText="1"/>
    </xf>
    <xf numFmtId="49" fontId="1" fillId="0" borderId="0" xfId="0" applyNumberFormat="1" applyFont="1" applyFill="1" applyBorder="1" applyAlignment="1">
      <alignment horizontal="center" vertical="center" textRotation="90"/>
    </xf>
    <xf numFmtId="165" fontId="1" fillId="0" borderId="0" xfId="0" applyNumberFormat="1" applyFont="1" applyFill="1" applyBorder="1" applyAlignment="1" applyProtection="1">
      <alignment horizontal="center" vertical="center"/>
    </xf>
    <xf numFmtId="164" fontId="1" fillId="0" borderId="0" xfId="0" applyNumberFormat="1" applyFont="1" applyFill="1" applyBorder="1" applyAlignment="1" applyProtection="1">
      <alignment vertical="center"/>
    </xf>
    <xf numFmtId="168" fontId="1" fillId="0" borderId="0" xfId="0" applyNumberFormat="1" applyFont="1" applyFill="1" applyBorder="1" applyAlignment="1" applyProtection="1">
      <alignment horizontal="center" vertical="center"/>
      <protection locked="0"/>
    </xf>
    <xf numFmtId="0" fontId="1" fillId="0" borderId="0" xfId="0" applyFont="1" applyFill="1" applyBorder="1" applyAlignment="1" applyProtection="1">
      <alignment vertical="center" wrapText="1"/>
      <protection locked="0"/>
    </xf>
    <xf numFmtId="14" fontId="1" fillId="0" borderId="0" xfId="0" applyNumberFormat="1" applyFont="1" applyFill="1" applyBorder="1" applyAlignment="1" applyProtection="1">
      <alignment vertical="center" wrapText="1"/>
      <protection locked="0"/>
    </xf>
    <xf numFmtId="0" fontId="1" fillId="0" borderId="0" xfId="0" applyFont="1" applyFill="1" applyBorder="1" applyAlignment="1" applyProtection="1">
      <alignment horizontal="center" vertical="center" wrapText="1"/>
      <protection locked="0"/>
    </xf>
    <xf numFmtId="165" fontId="1" fillId="0" borderId="0" xfId="0" applyNumberFormat="1" applyFont="1" applyFill="1" applyBorder="1" applyAlignment="1" applyProtection="1">
      <alignment horizontal="center"/>
    </xf>
    <xf numFmtId="166" fontId="1" fillId="0" borderId="0" xfId="0" applyNumberFormat="1" applyFont="1" applyFill="1" applyBorder="1" applyAlignment="1">
      <alignment horizontal="center" vertical="center" wrapText="1"/>
    </xf>
    <xf numFmtId="49" fontId="1" fillId="0" borderId="0" xfId="0" applyNumberFormat="1" applyFont="1" applyFill="1" applyBorder="1"/>
    <xf numFmtId="14" fontId="1" fillId="0" borderId="0" xfId="0" applyNumberFormat="1" applyFont="1" applyFill="1" applyBorder="1"/>
    <xf numFmtId="166" fontId="1" fillId="0" borderId="0" xfId="0" applyNumberFormat="1" applyFont="1" applyFill="1" applyBorder="1" applyAlignment="1">
      <alignment horizontal="center"/>
    </xf>
    <xf numFmtId="0" fontId="1" fillId="0" borderId="1" xfId="0" applyFont="1" applyFill="1" applyBorder="1" applyAlignment="1">
      <alignment vertical="center" wrapText="1"/>
    </xf>
    <xf numFmtId="49" fontId="1" fillId="0" borderId="1" xfId="0" applyNumberFormat="1" applyFont="1" applyFill="1" applyBorder="1" applyAlignment="1">
      <alignment vertical="center"/>
    </xf>
    <xf numFmtId="14" fontId="1" fillId="0" borderId="1" xfId="0" applyNumberFormat="1" applyFont="1" applyFill="1" applyBorder="1" applyAlignment="1">
      <alignment vertical="center" wrapText="1"/>
    </xf>
    <xf numFmtId="14" fontId="1" fillId="0" borderId="1" xfId="0" applyNumberFormat="1" applyFont="1" applyFill="1" applyBorder="1" applyAlignment="1">
      <alignment vertical="center"/>
    </xf>
    <xf numFmtId="49" fontId="1" fillId="0" borderId="1" xfId="0" applyNumberFormat="1" applyFont="1" applyFill="1" applyBorder="1" applyAlignment="1">
      <alignment vertical="center" textRotation="90"/>
    </xf>
    <xf numFmtId="0" fontId="1" fillId="0" borderId="5" xfId="0" applyFont="1" applyFill="1" applyBorder="1" applyAlignment="1">
      <alignment horizontal="center" vertical="center" wrapText="1"/>
    </xf>
    <xf numFmtId="0" fontId="1" fillId="0" borderId="6" xfId="0" applyFont="1" applyFill="1" applyBorder="1" applyAlignment="1">
      <alignment horizontal="center" vertical="center" wrapText="1"/>
    </xf>
    <xf numFmtId="49" fontId="1" fillId="0" borderId="6" xfId="0" applyNumberFormat="1" applyFont="1" applyFill="1" applyBorder="1" applyAlignment="1">
      <alignment horizontal="center" vertical="center"/>
    </xf>
    <xf numFmtId="14" fontId="1" fillId="0" borderId="6" xfId="0" applyNumberFormat="1" applyFont="1" applyFill="1" applyBorder="1" applyAlignment="1">
      <alignment horizontal="center" vertical="center" wrapText="1"/>
    </xf>
    <xf numFmtId="1" fontId="1" fillId="0" borderId="6" xfId="0" applyNumberFormat="1" applyFont="1" applyFill="1" applyBorder="1" applyAlignment="1">
      <alignment horizontal="center" vertical="center" wrapText="1"/>
    </xf>
    <xf numFmtId="14" fontId="1" fillId="0" borderId="7" xfId="0" applyNumberFormat="1" applyFont="1" applyFill="1" applyBorder="1" applyAlignment="1">
      <alignment horizontal="center" vertical="center" wrapText="1"/>
    </xf>
    <xf numFmtId="0" fontId="1" fillId="0" borderId="11" xfId="0" applyFont="1" applyFill="1" applyBorder="1" applyAlignment="1">
      <alignment vertical="center" wrapText="1"/>
    </xf>
    <xf numFmtId="1" fontId="1" fillId="0" borderId="12" xfId="0" applyNumberFormat="1" applyFont="1" applyFill="1" applyBorder="1" applyAlignment="1">
      <alignment horizontal="center" vertical="center" wrapText="1"/>
    </xf>
    <xf numFmtId="0" fontId="1" fillId="2" borderId="8" xfId="0" applyFont="1" applyFill="1" applyBorder="1" applyAlignment="1">
      <alignment horizontal="right" vertical="center" wrapText="1"/>
    </xf>
    <xf numFmtId="1" fontId="1" fillId="2" borderId="9" xfId="0" applyNumberFormat="1" applyFont="1" applyFill="1" applyBorder="1" applyAlignment="1">
      <alignment horizontal="center" vertical="center" wrapText="1"/>
    </xf>
    <xf numFmtId="0" fontId="1" fillId="2" borderId="9" xfId="0" applyFont="1" applyFill="1" applyBorder="1" applyAlignment="1">
      <alignment horizontal="right" vertical="center" wrapText="1"/>
    </xf>
    <xf numFmtId="1" fontId="1" fillId="2" borderId="10" xfId="0" applyNumberFormat="1" applyFont="1" applyFill="1" applyBorder="1" applyAlignment="1">
      <alignment horizontal="center" vertical="center" wrapText="1"/>
    </xf>
    <xf numFmtId="0" fontId="6" fillId="0" borderId="0" xfId="0" applyFont="1" applyAlignment="1">
      <alignment wrapText="1"/>
    </xf>
    <xf numFmtId="0" fontId="0" fillId="0" borderId="13" xfId="0" applyBorder="1" applyAlignment="1">
      <alignment wrapText="1"/>
    </xf>
    <xf numFmtId="0" fontId="6" fillId="0" borderId="0" xfId="0" applyFont="1" applyBorder="1" applyAlignment="1">
      <alignment wrapText="1"/>
    </xf>
    <xf numFmtId="14" fontId="0" fillId="0" borderId="13" xfId="0" applyNumberFormat="1" applyBorder="1" applyAlignment="1">
      <alignment horizontal="center"/>
    </xf>
    <xf numFmtId="0" fontId="0" fillId="0" borderId="4" xfId="0" applyBorder="1" applyAlignment="1">
      <alignment horizontal="center"/>
    </xf>
    <xf numFmtId="0" fontId="6" fillId="0" borderId="4" xfId="0" applyFont="1" applyBorder="1" applyAlignment="1">
      <alignment wrapText="1"/>
    </xf>
    <xf numFmtId="0" fontId="1" fillId="0" borderId="0" xfId="0" applyFont="1" applyFill="1" applyAlignment="1">
      <alignment horizontal="left"/>
    </xf>
    <xf numFmtId="14" fontId="1" fillId="0" borderId="0" xfId="0" applyNumberFormat="1" applyFont="1" applyFill="1" applyAlignment="1">
      <alignment horizontal="left"/>
    </xf>
    <xf numFmtId="0" fontId="6" fillId="0" borderId="13" xfId="0" applyFont="1" applyBorder="1" applyAlignment="1">
      <alignment wrapText="1"/>
    </xf>
    <xf numFmtId="0" fontId="1" fillId="0" borderId="1" xfId="0" applyFont="1" applyFill="1" applyBorder="1" applyAlignment="1">
      <alignment horizontal="left" vertical="center" wrapText="1"/>
    </xf>
    <xf numFmtId="14" fontId="1" fillId="0" borderId="0" xfId="0" applyNumberFormat="1" applyFont="1" applyAlignment="1">
      <alignment horizontal="left"/>
    </xf>
    <xf numFmtId="0" fontId="1" fillId="0" borderId="0" xfId="0" applyFont="1" applyAlignment="1">
      <alignment horizontal="left"/>
    </xf>
    <xf numFmtId="167" fontId="1" fillId="0" borderId="0" xfId="0" applyNumberFormat="1" applyFont="1" applyFill="1" applyAlignment="1">
      <alignment horizontal="left"/>
    </xf>
    <xf numFmtId="0" fontId="16" fillId="0" borderId="14" xfId="2" applyFont="1" applyFill="1" applyBorder="1" applyAlignment="1" applyProtection="1">
      <alignment horizontal="center" vertical="center" wrapText="1"/>
    </xf>
    <xf numFmtId="0" fontId="7" fillId="0" borderId="14" xfId="0" applyFont="1" applyFill="1" applyBorder="1" applyAlignment="1">
      <alignment horizontal="center" vertical="center" wrapText="1"/>
    </xf>
    <xf numFmtId="0" fontId="1" fillId="0" borderId="14" xfId="0" applyFont="1" applyFill="1" applyBorder="1" applyAlignment="1">
      <alignment horizontal="center" vertical="center" wrapText="1"/>
    </xf>
    <xf numFmtId="0" fontId="17" fillId="0" borderId="14" xfId="0" applyFont="1" applyFill="1" applyBorder="1" applyAlignment="1">
      <alignment horizontal="left" vertical="center" wrapText="1"/>
    </xf>
    <xf numFmtId="49" fontId="1" fillId="0" borderId="14" xfId="0" applyNumberFormat="1" applyFont="1" applyFill="1" applyBorder="1" applyAlignment="1">
      <alignment horizontal="center" vertical="center" wrapText="1"/>
    </xf>
    <xf numFmtId="14" fontId="1" fillId="0" borderId="14" xfId="0" applyNumberFormat="1" applyFont="1" applyFill="1" applyBorder="1" applyAlignment="1">
      <alignment horizontal="center" vertical="center" wrapText="1"/>
    </xf>
    <xf numFmtId="14" fontId="9" fillId="0" borderId="14" xfId="0" applyNumberFormat="1" applyFont="1" applyFill="1" applyBorder="1" applyAlignment="1">
      <alignment horizontal="center" vertical="center" wrapText="1"/>
    </xf>
    <xf numFmtId="1" fontId="18" fillId="0" borderId="14" xfId="0" applyNumberFormat="1" applyFont="1" applyFill="1" applyBorder="1" applyAlignment="1">
      <alignment horizontal="center" vertical="center" wrapText="1"/>
    </xf>
    <xf numFmtId="0" fontId="1" fillId="0" borderId="14" xfId="0" applyFont="1" applyFill="1" applyBorder="1" applyAlignment="1">
      <alignment horizontal="left" vertical="center" wrapText="1"/>
    </xf>
    <xf numFmtId="0" fontId="2" fillId="0" borderId="14" xfId="2" applyFill="1" applyBorder="1" applyAlignment="1" applyProtection="1">
      <alignment horizontal="center" vertical="center" wrapText="1"/>
    </xf>
    <xf numFmtId="0" fontId="2" fillId="7" borderId="14" xfId="2" applyFill="1" applyBorder="1" applyAlignment="1" applyProtection="1">
      <alignment horizontal="center" vertical="center" wrapText="1"/>
    </xf>
    <xf numFmtId="0" fontId="7" fillId="7" borderId="14" xfId="0" applyFont="1" applyFill="1" applyBorder="1" applyAlignment="1">
      <alignment horizontal="center" vertical="center" wrapText="1"/>
    </xf>
    <xf numFmtId="0" fontId="1" fillId="7" borderId="14" xfId="0" applyFont="1" applyFill="1" applyBorder="1" applyAlignment="1">
      <alignment horizontal="center" vertical="center" wrapText="1"/>
    </xf>
    <xf numFmtId="0" fontId="17" fillId="7" borderId="14" xfId="0" applyFont="1" applyFill="1" applyBorder="1" applyAlignment="1">
      <alignment horizontal="left" vertical="center" wrapText="1"/>
    </xf>
    <xf numFmtId="49" fontId="1" fillId="7" borderId="14" xfId="0" applyNumberFormat="1" applyFont="1" applyFill="1" applyBorder="1" applyAlignment="1">
      <alignment horizontal="center" vertical="center" wrapText="1"/>
    </xf>
    <xf numFmtId="14" fontId="1" fillId="7" borderId="14" xfId="0" applyNumberFormat="1" applyFont="1" applyFill="1" applyBorder="1" applyAlignment="1">
      <alignment horizontal="center" vertical="center" wrapText="1"/>
    </xf>
    <xf numFmtId="14" fontId="9" fillId="7" borderId="14" xfId="0" applyNumberFormat="1" applyFont="1" applyFill="1" applyBorder="1" applyAlignment="1">
      <alignment horizontal="center" vertical="center" wrapText="1"/>
    </xf>
    <xf numFmtId="1" fontId="18" fillId="7" borderId="14" xfId="0" applyNumberFormat="1" applyFont="1" applyFill="1" applyBorder="1" applyAlignment="1">
      <alignment horizontal="center" vertical="center" wrapText="1"/>
    </xf>
    <xf numFmtId="0" fontId="1" fillId="7" borderId="14" xfId="0" applyFont="1" applyFill="1" applyBorder="1" applyAlignment="1">
      <alignment horizontal="left" vertical="center" wrapText="1"/>
    </xf>
    <xf numFmtId="0" fontId="2" fillId="0" borderId="1" xfId="2" applyFill="1" applyBorder="1" applyAlignment="1" applyProtection="1">
      <alignment horizontal="center" vertical="center" wrapText="1"/>
    </xf>
    <xf numFmtId="49" fontId="1" fillId="0" borderId="1" xfId="0" applyNumberFormat="1" applyFont="1" applyFill="1" applyBorder="1" applyAlignment="1">
      <alignment horizontal="center" vertical="center" wrapText="1"/>
    </xf>
    <xf numFmtId="0" fontId="16" fillId="8" borderId="14" xfId="2" applyFont="1" applyFill="1" applyBorder="1" applyAlignment="1" applyProtection="1">
      <alignment horizontal="center" vertical="center" wrapText="1"/>
    </xf>
    <xf numFmtId="0" fontId="7" fillId="8" borderId="14" xfId="0" applyFont="1" applyFill="1" applyBorder="1" applyAlignment="1">
      <alignment horizontal="center" vertical="center" wrapText="1"/>
    </xf>
    <xf numFmtId="0" fontId="1" fillId="8" borderId="14" xfId="0" applyFont="1" applyFill="1" applyBorder="1" applyAlignment="1">
      <alignment horizontal="center" vertical="center" wrapText="1"/>
    </xf>
    <xf numFmtId="0" fontId="17" fillId="8" borderId="14" xfId="0" applyFont="1" applyFill="1" applyBorder="1" applyAlignment="1">
      <alignment horizontal="left" vertical="center" wrapText="1"/>
    </xf>
    <xf numFmtId="49" fontId="1" fillId="8" borderId="14" xfId="0" applyNumberFormat="1" applyFont="1" applyFill="1" applyBorder="1" applyAlignment="1">
      <alignment horizontal="center" vertical="center" wrapText="1"/>
    </xf>
    <xf numFmtId="14" fontId="1" fillId="8" borderId="14" xfId="0" applyNumberFormat="1" applyFont="1" applyFill="1" applyBorder="1" applyAlignment="1">
      <alignment horizontal="center" vertical="center" wrapText="1"/>
    </xf>
    <xf numFmtId="14" fontId="9" fillId="8" borderId="14" xfId="0" applyNumberFormat="1" applyFont="1" applyFill="1" applyBorder="1" applyAlignment="1">
      <alignment horizontal="center" vertical="center" wrapText="1"/>
    </xf>
    <xf numFmtId="1" fontId="18" fillId="8" borderId="14" xfId="0" applyNumberFormat="1" applyFont="1" applyFill="1" applyBorder="1" applyAlignment="1">
      <alignment horizontal="center" vertical="center" wrapText="1"/>
    </xf>
    <xf numFmtId="0" fontId="1" fillId="8" borderId="14" xfId="0" applyFont="1" applyFill="1" applyBorder="1" applyAlignment="1">
      <alignment horizontal="left" vertical="center" wrapText="1"/>
    </xf>
    <xf numFmtId="0" fontId="1" fillId="8" borderId="16" xfId="0" applyFont="1" applyFill="1" applyBorder="1" applyAlignment="1">
      <alignment vertical="center"/>
    </xf>
    <xf numFmtId="0" fontId="1" fillId="8" borderId="1" xfId="0" applyFont="1" applyFill="1" applyBorder="1" applyAlignment="1">
      <alignment vertical="center" wrapText="1"/>
    </xf>
    <xf numFmtId="0" fontId="7" fillId="8" borderId="1" xfId="0" applyFont="1" applyFill="1" applyBorder="1" applyAlignment="1">
      <alignment horizontal="center" vertical="center" wrapText="1"/>
    </xf>
    <xf numFmtId="0" fontId="1" fillId="8" borderId="1" xfId="0" applyFont="1" applyFill="1" applyBorder="1" applyAlignment="1">
      <alignment horizontal="center" vertical="center" wrapText="1"/>
    </xf>
    <xf numFmtId="0" fontId="17" fillId="8" borderId="1" xfId="0" applyFont="1" applyFill="1" applyBorder="1" applyAlignment="1">
      <alignment horizontal="left" vertical="center" wrapText="1"/>
    </xf>
    <xf numFmtId="49" fontId="1" fillId="8" borderId="1" xfId="0" applyNumberFormat="1" applyFont="1" applyFill="1" applyBorder="1" applyAlignment="1">
      <alignment horizontal="center" vertical="center" wrapText="1"/>
    </xf>
    <xf numFmtId="14" fontId="1" fillId="8" borderId="1" xfId="0" applyNumberFormat="1" applyFont="1" applyFill="1" applyBorder="1" applyAlignment="1">
      <alignment horizontal="center" vertical="center" wrapText="1"/>
    </xf>
    <xf numFmtId="14" fontId="9" fillId="8" borderId="1" xfId="0" applyNumberFormat="1" applyFont="1" applyFill="1" applyBorder="1" applyAlignment="1">
      <alignment horizontal="center" vertical="center" wrapText="1"/>
    </xf>
    <xf numFmtId="1" fontId="18" fillId="8" borderId="1" xfId="0" applyNumberFormat="1" applyFont="1" applyFill="1" applyBorder="1" applyAlignment="1">
      <alignment horizontal="center" vertical="center" wrapText="1"/>
    </xf>
    <xf numFmtId="0" fontId="1" fillId="8" borderId="1" xfId="0" applyFont="1" applyFill="1" applyBorder="1" applyAlignment="1">
      <alignment horizontal="left" vertical="center" wrapText="1"/>
    </xf>
    <xf numFmtId="0" fontId="2" fillId="8" borderId="14" xfId="2" applyFill="1" applyBorder="1" applyAlignment="1" applyProtection="1">
      <alignment horizontal="center" vertical="center" wrapText="1"/>
    </xf>
    <xf numFmtId="0" fontId="16" fillId="8" borderId="15" xfId="2" applyFont="1" applyFill="1" applyBorder="1" applyAlignment="1" applyProtection="1">
      <alignment horizontal="center" vertical="center" wrapText="1"/>
    </xf>
    <xf numFmtId="0" fontId="7" fillId="8" borderId="15" xfId="0" applyFont="1" applyFill="1" applyBorder="1" applyAlignment="1">
      <alignment horizontal="center" vertical="center" wrapText="1"/>
    </xf>
    <xf numFmtId="0" fontId="1" fillId="8" borderId="15" xfId="0" applyFont="1" applyFill="1" applyBorder="1" applyAlignment="1">
      <alignment horizontal="center" vertical="center" wrapText="1"/>
    </xf>
    <xf numFmtId="0" fontId="17" fillId="8" borderId="15" xfId="0" applyFont="1" applyFill="1" applyBorder="1" applyAlignment="1">
      <alignment horizontal="left" vertical="center" wrapText="1"/>
    </xf>
    <xf numFmtId="49" fontId="1" fillId="8" borderId="15" xfId="0" applyNumberFormat="1" applyFont="1" applyFill="1" applyBorder="1" applyAlignment="1">
      <alignment horizontal="center" vertical="center" wrapText="1"/>
    </xf>
    <xf numFmtId="14" fontId="1" fillId="8" borderId="15" xfId="0" applyNumberFormat="1" applyFont="1" applyFill="1" applyBorder="1" applyAlignment="1">
      <alignment horizontal="center" vertical="center" wrapText="1"/>
    </xf>
    <xf numFmtId="14" fontId="9" fillId="8" borderId="15" xfId="0" applyNumberFormat="1" applyFont="1" applyFill="1" applyBorder="1" applyAlignment="1">
      <alignment horizontal="center" vertical="center" wrapText="1"/>
    </xf>
    <xf numFmtId="1" fontId="18" fillId="8" borderId="15" xfId="0" applyNumberFormat="1" applyFont="1" applyFill="1" applyBorder="1" applyAlignment="1">
      <alignment horizontal="center" vertical="center" wrapText="1"/>
    </xf>
    <xf numFmtId="0" fontId="1" fillId="8" borderId="15" xfId="0" applyFont="1" applyFill="1" applyBorder="1" applyAlignment="1">
      <alignment horizontal="left" vertical="center" wrapText="1"/>
    </xf>
    <xf numFmtId="0" fontId="1" fillId="8" borderId="17" xfId="0" applyFont="1" applyFill="1" applyBorder="1" applyAlignment="1">
      <alignment vertical="center" wrapText="1"/>
    </xf>
    <xf numFmtId="0" fontId="2" fillId="8" borderId="1" xfId="2" applyFill="1" applyBorder="1" applyAlignment="1" applyProtection="1">
      <alignment horizontal="center" vertical="center" wrapText="1"/>
    </xf>
    <xf numFmtId="14" fontId="1" fillId="8" borderId="18" xfId="0" applyNumberFormat="1" applyFont="1" applyFill="1" applyBorder="1" applyAlignment="1">
      <alignment horizontal="center" vertical="center" wrapText="1"/>
    </xf>
    <xf numFmtId="0" fontId="1" fillId="0" borderId="14" xfId="0" applyFont="1" applyFill="1" applyBorder="1" applyAlignment="1">
      <alignment vertical="center" wrapText="1"/>
    </xf>
    <xf numFmtId="0" fontId="9" fillId="0" borderId="0" xfId="0" applyFont="1" applyAlignment="1">
      <alignment horizontal="left"/>
    </xf>
    <xf numFmtId="1" fontId="1" fillId="0" borderId="14" xfId="0" applyNumberFormat="1" applyFont="1" applyFill="1" applyBorder="1" applyAlignment="1">
      <alignment horizontal="center" vertical="center" wrapText="1"/>
    </xf>
    <xf numFmtId="0" fontId="1" fillId="0" borderId="14" xfId="0" applyFont="1" applyFill="1" applyBorder="1" applyAlignment="1">
      <alignment horizontal="left" vertical="top" wrapText="1"/>
    </xf>
    <xf numFmtId="0" fontId="17" fillId="8" borderId="14" xfId="0" applyFont="1" applyFill="1" applyBorder="1" applyAlignment="1">
      <alignment horizontal="left" vertical="top" wrapText="1"/>
    </xf>
    <xf numFmtId="1" fontId="1" fillId="8" borderId="14" xfId="0" applyNumberFormat="1" applyFont="1" applyFill="1" applyBorder="1" applyAlignment="1">
      <alignment horizontal="center" vertical="center" wrapText="1"/>
    </xf>
    <xf numFmtId="0" fontId="1" fillId="8" borderId="14" xfId="0" applyFont="1" applyFill="1" applyBorder="1" applyAlignment="1">
      <alignment horizontal="left" vertical="top" wrapText="1"/>
    </xf>
    <xf numFmtId="1" fontId="1" fillId="7" borderId="14" xfId="0" applyNumberFormat="1" applyFont="1" applyFill="1" applyBorder="1" applyAlignment="1">
      <alignment horizontal="center" vertical="center" wrapText="1"/>
    </xf>
    <xf numFmtId="0" fontId="1" fillId="7" borderId="14" xfId="0" applyFont="1" applyFill="1" applyBorder="1" applyAlignment="1">
      <alignment horizontal="left" vertical="top" wrapText="1"/>
    </xf>
    <xf numFmtId="14" fontId="8" fillId="7" borderId="14" xfId="0" applyNumberFormat="1" applyFont="1" applyFill="1" applyBorder="1" applyAlignment="1">
      <alignment horizontal="center" vertical="center" wrapText="1"/>
    </xf>
    <xf numFmtId="14" fontId="8" fillId="0" borderId="14" xfId="0" applyNumberFormat="1" applyFont="1" applyFill="1" applyBorder="1" applyAlignment="1">
      <alignment horizontal="center" vertical="center" wrapText="1"/>
    </xf>
    <xf numFmtId="0" fontId="2" fillId="0" borderId="14" xfId="2" applyFont="1" applyFill="1" applyBorder="1" applyAlignment="1" applyProtection="1">
      <alignment horizontal="center" vertical="center" wrapText="1"/>
    </xf>
    <xf numFmtId="0" fontId="2" fillId="7" borderId="14" xfId="2" applyFont="1" applyFill="1" applyBorder="1" applyAlignment="1" applyProtection="1">
      <alignment horizontal="center" vertical="center" wrapText="1"/>
    </xf>
    <xf numFmtId="14" fontId="8" fillId="8" borderId="14" xfId="0" applyNumberFormat="1" applyFont="1" applyFill="1" applyBorder="1" applyAlignment="1">
      <alignment horizontal="center" vertical="center" wrapText="1"/>
    </xf>
    <xf numFmtId="0" fontId="2" fillId="8" borderId="14" xfId="2" applyFont="1" applyFill="1" applyBorder="1" applyAlignment="1" applyProtection="1">
      <alignment horizontal="center" vertical="center" wrapText="1"/>
    </xf>
    <xf numFmtId="0" fontId="1" fillId="8" borderId="1" xfId="0" applyFont="1" applyFill="1" applyBorder="1" applyAlignment="1">
      <alignment horizontal="left" vertical="top" wrapText="1"/>
    </xf>
    <xf numFmtId="14" fontId="8" fillId="8" borderId="1" xfId="0" applyNumberFormat="1" applyFont="1" applyFill="1" applyBorder="1" applyAlignment="1">
      <alignment horizontal="center" vertical="center" wrapText="1"/>
    </xf>
    <xf numFmtId="1" fontId="1" fillId="8" borderId="1" xfId="0" applyNumberFormat="1" applyFont="1" applyFill="1" applyBorder="1" applyAlignment="1">
      <alignment horizontal="center" vertical="center" wrapText="1"/>
    </xf>
    <xf numFmtId="0" fontId="2" fillId="0" borderId="15" xfId="2" applyFill="1" applyBorder="1" applyAlignment="1" applyProtection="1">
      <alignment horizontal="center" vertical="center" wrapText="1"/>
    </xf>
    <xf numFmtId="0" fontId="1" fillId="0" borderId="15" xfId="0" applyFont="1" applyFill="1" applyBorder="1" applyAlignment="1">
      <alignment horizontal="center" vertical="center" wrapText="1"/>
    </xf>
    <xf numFmtId="0" fontId="1" fillId="0" borderId="15" xfId="0" applyFont="1" applyFill="1" applyBorder="1" applyAlignment="1">
      <alignment horizontal="left" vertical="center" wrapText="1"/>
    </xf>
    <xf numFmtId="49" fontId="1" fillId="0" borderId="15" xfId="0" applyNumberFormat="1" applyFont="1" applyFill="1" applyBorder="1" applyAlignment="1">
      <alignment horizontal="center" vertical="center" wrapText="1"/>
    </xf>
    <xf numFmtId="14" fontId="1" fillId="0" borderId="15" xfId="0" applyNumberFormat="1" applyFont="1" applyFill="1" applyBorder="1" applyAlignment="1">
      <alignment horizontal="center" vertical="center" wrapText="1"/>
    </xf>
    <xf numFmtId="1" fontId="1" fillId="0" borderId="15" xfId="0" applyNumberFormat="1" applyFont="1" applyFill="1" applyBorder="1" applyAlignment="1">
      <alignment horizontal="center" vertical="center" wrapText="1"/>
    </xf>
    <xf numFmtId="0" fontId="2" fillId="8" borderId="15" xfId="2" applyFont="1" applyFill="1" applyBorder="1" applyAlignment="1" applyProtection="1">
      <alignment horizontal="center" vertical="center" wrapText="1"/>
    </xf>
    <xf numFmtId="0" fontId="1" fillId="8" borderId="15" xfId="0" applyFont="1" applyFill="1" applyBorder="1" applyAlignment="1">
      <alignment horizontal="left" vertical="top" wrapText="1"/>
    </xf>
    <xf numFmtId="14" fontId="8" fillId="8" borderId="15" xfId="0" applyNumberFormat="1" applyFont="1" applyFill="1" applyBorder="1" applyAlignment="1">
      <alignment horizontal="center" vertical="center" wrapText="1"/>
    </xf>
    <xf numFmtId="1" fontId="1" fillId="8" borderId="15" xfId="0" applyNumberFormat="1" applyFont="1" applyFill="1" applyBorder="1" applyAlignment="1">
      <alignment horizontal="center" vertical="center" wrapText="1"/>
    </xf>
    <xf numFmtId="0" fontId="2" fillId="7" borderId="15" xfId="2" applyFill="1" applyBorder="1" applyAlignment="1" applyProtection="1">
      <alignment horizontal="center" vertical="center" wrapText="1"/>
    </xf>
    <xf numFmtId="0" fontId="1" fillId="7" borderId="15" xfId="0" applyFont="1" applyFill="1" applyBorder="1" applyAlignment="1">
      <alignment horizontal="center" vertical="center" wrapText="1"/>
    </xf>
    <xf numFmtId="0" fontId="1" fillId="7" borderId="15" xfId="0" applyFont="1" applyFill="1" applyBorder="1" applyAlignment="1">
      <alignment horizontal="left" vertical="center" wrapText="1"/>
    </xf>
    <xf numFmtId="49" fontId="1" fillId="7" borderId="15" xfId="0" applyNumberFormat="1" applyFont="1" applyFill="1" applyBorder="1" applyAlignment="1">
      <alignment horizontal="center" vertical="center" wrapText="1"/>
    </xf>
    <xf numFmtId="14" fontId="1" fillId="7" borderId="15" xfId="0" applyNumberFormat="1" applyFont="1" applyFill="1" applyBorder="1" applyAlignment="1">
      <alignment horizontal="center" vertical="center" wrapText="1"/>
    </xf>
    <xf numFmtId="1" fontId="1" fillId="7" borderId="15" xfId="0" applyNumberFormat="1" applyFont="1" applyFill="1" applyBorder="1" applyAlignment="1">
      <alignment horizontal="center" vertical="center" wrapText="1"/>
    </xf>
    <xf numFmtId="0" fontId="1" fillId="0" borderId="1" xfId="0" applyFont="1" applyFill="1" applyBorder="1" applyAlignment="1">
      <alignment horizontal="left" vertical="top" wrapText="1"/>
    </xf>
    <xf numFmtId="0" fontId="1" fillId="6" borderId="2" xfId="0" applyFont="1" applyFill="1" applyBorder="1" applyAlignment="1">
      <alignment horizontal="left" wrapText="1"/>
    </xf>
    <xf numFmtId="0" fontId="6" fillId="6" borderId="2" xfId="0" applyFont="1" applyFill="1" applyBorder="1" applyAlignment="1">
      <alignment wrapText="1"/>
    </xf>
    <xf numFmtId="0" fontId="10" fillId="0" borderId="5" xfId="0" applyFont="1" applyFill="1" applyBorder="1" applyAlignment="1">
      <alignment horizontal="center"/>
    </xf>
    <xf numFmtId="0" fontId="10" fillId="0" borderId="6" xfId="0" applyFont="1" applyFill="1" applyBorder="1" applyAlignment="1">
      <alignment horizontal="center"/>
    </xf>
    <xf numFmtId="0" fontId="10" fillId="0" borderId="7" xfId="0" applyFont="1" applyFill="1" applyBorder="1" applyAlignment="1">
      <alignment horizontal="center"/>
    </xf>
    <xf numFmtId="0" fontId="10" fillId="0" borderId="8" xfId="0" applyFont="1" applyFill="1" applyBorder="1" applyAlignment="1">
      <alignment horizontal="center"/>
    </xf>
    <xf numFmtId="0" fontId="10" fillId="0" borderId="9" xfId="0" applyFont="1" applyFill="1" applyBorder="1" applyAlignment="1">
      <alignment horizontal="center"/>
    </xf>
    <xf numFmtId="0" fontId="10" fillId="0" borderId="10" xfId="0" applyFont="1" applyFill="1" applyBorder="1" applyAlignment="1">
      <alignment horizontal="center"/>
    </xf>
  </cellXfs>
  <cellStyles count="4">
    <cellStyle name="Complete" xfId="1"/>
    <cellStyle name="Hyperlink" xfId="2" builtinId="8"/>
    <cellStyle name="Normal" xfId="0" builtinId="0"/>
    <cellStyle name="Normal 2" xfId="3"/>
  </cellStyles>
  <dxfs count="540">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1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9" defaultPivotStyle="PivotStyleLight16"/>
  <colors>
    <mruColors>
      <color rgb="FF00FF00"/>
      <color rgb="FF66FFFF"/>
      <color rgb="FF00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attachedToolbars" Target="attachedToolbars.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Plant 6</a:t>
            </a:r>
            <a:r>
              <a:rPr lang="en-US" baseline="0"/>
              <a:t> Product</a:t>
            </a:r>
            <a:r>
              <a:rPr lang="en-US"/>
              <a:t> Change Management </a:t>
            </a:r>
            <a:r>
              <a:rPr lang="en-US" baseline="0"/>
              <a:t>Metrics</a:t>
            </a:r>
            <a:endParaRPr lang="en-US"/>
          </a:p>
        </c:rich>
      </c:tx>
      <c:overlay val="0"/>
    </c:title>
    <c:autoTitleDeleted val="0"/>
    <c:plotArea>
      <c:layout/>
      <c:lineChart>
        <c:grouping val="standard"/>
        <c:varyColors val="0"/>
        <c:ser>
          <c:idx val="0"/>
          <c:order val="0"/>
          <c:tx>
            <c:strRef>
              <c:f>Metrics!$A$4</c:f>
              <c:strCache>
                <c:ptCount val="1"/>
                <c:pt idx="0">
                  <c:v>All open CNs</c:v>
                </c:pt>
              </c:strCache>
            </c:strRef>
          </c:tx>
          <c:cat>
            <c:numRef>
              <c:f>Metrics!$B$3:$CQ$3</c:f>
              <c:numCache>
                <c:formatCode>m/d/yyyy</c:formatCode>
                <c:ptCount val="94"/>
                <c:pt idx="0">
                  <c:v>40926</c:v>
                </c:pt>
                <c:pt idx="1">
                  <c:v>40948</c:v>
                </c:pt>
                <c:pt idx="2">
                  <c:v>41003</c:v>
                </c:pt>
                <c:pt idx="3">
                  <c:v>41036</c:v>
                </c:pt>
                <c:pt idx="4">
                  <c:v>41065</c:v>
                </c:pt>
                <c:pt idx="5">
                  <c:v>41102</c:v>
                </c:pt>
                <c:pt idx="6">
                  <c:v>41130</c:v>
                </c:pt>
                <c:pt idx="7">
                  <c:v>41298</c:v>
                </c:pt>
                <c:pt idx="8">
                  <c:v>41319</c:v>
                </c:pt>
                <c:pt idx="9">
                  <c:v>41324</c:v>
                </c:pt>
                <c:pt idx="10">
                  <c:v>41326</c:v>
                </c:pt>
                <c:pt idx="11">
                  <c:v>41331</c:v>
                </c:pt>
                <c:pt idx="12">
                  <c:v>41338</c:v>
                </c:pt>
                <c:pt idx="13">
                  <c:v>41340</c:v>
                </c:pt>
                <c:pt idx="14">
                  <c:v>41341</c:v>
                </c:pt>
                <c:pt idx="15">
                  <c:v>41345</c:v>
                </c:pt>
                <c:pt idx="16">
                  <c:v>41346</c:v>
                </c:pt>
                <c:pt idx="17">
                  <c:v>41351</c:v>
                </c:pt>
                <c:pt idx="18">
                  <c:v>41357</c:v>
                </c:pt>
                <c:pt idx="19">
                  <c:v>41362</c:v>
                </c:pt>
                <c:pt idx="20">
                  <c:v>41365</c:v>
                </c:pt>
                <c:pt idx="21">
                  <c:v>41368</c:v>
                </c:pt>
                <c:pt idx="22">
                  <c:v>41373</c:v>
                </c:pt>
                <c:pt idx="23">
                  <c:v>41379</c:v>
                </c:pt>
                <c:pt idx="24">
                  <c:v>41392</c:v>
                </c:pt>
                <c:pt idx="25">
                  <c:v>41392</c:v>
                </c:pt>
                <c:pt idx="26">
                  <c:v>41392</c:v>
                </c:pt>
                <c:pt idx="27">
                  <c:v>41400</c:v>
                </c:pt>
                <c:pt idx="28">
                  <c:v>41407</c:v>
                </c:pt>
                <c:pt idx="29">
                  <c:v>41414</c:v>
                </c:pt>
                <c:pt idx="30">
                  <c:v>41424</c:v>
                </c:pt>
                <c:pt idx="31">
                  <c:v>41431</c:v>
                </c:pt>
                <c:pt idx="32">
                  <c:v>41438</c:v>
                </c:pt>
                <c:pt idx="33">
                  <c:v>41445</c:v>
                </c:pt>
                <c:pt idx="34">
                  <c:v>41452</c:v>
                </c:pt>
                <c:pt idx="35">
                  <c:v>41466</c:v>
                </c:pt>
                <c:pt idx="36">
                  <c:v>41473</c:v>
                </c:pt>
                <c:pt idx="37">
                  <c:v>41480</c:v>
                </c:pt>
                <c:pt idx="38">
                  <c:v>41487</c:v>
                </c:pt>
                <c:pt idx="39">
                  <c:v>41494</c:v>
                </c:pt>
                <c:pt idx="40">
                  <c:v>41501</c:v>
                </c:pt>
                <c:pt idx="41">
                  <c:v>41508</c:v>
                </c:pt>
                <c:pt idx="42">
                  <c:v>41515</c:v>
                </c:pt>
                <c:pt idx="43">
                  <c:v>41522</c:v>
                </c:pt>
                <c:pt idx="44">
                  <c:v>41529</c:v>
                </c:pt>
                <c:pt idx="45">
                  <c:v>41536</c:v>
                </c:pt>
                <c:pt idx="46">
                  <c:v>41543</c:v>
                </c:pt>
                <c:pt idx="47">
                  <c:v>41550</c:v>
                </c:pt>
                <c:pt idx="48">
                  <c:v>41557</c:v>
                </c:pt>
                <c:pt idx="49">
                  <c:v>41564</c:v>
                </c:pt>
                <c:pt idx="50">
                  <c:v>41571</c:v>
                </c:pt>
                <c:pt idx="51">
                  <c:v>41578</c:v>
                </c:pt>
                <c:pt idx="52">
                  <c:v>41585</c:v>
                </c:pt>
                <c:pt idx="53">
                  <c:v>41592</c:v>
                </c:pt>
                <c:pt idx="54">
                  <c:v>41599</c:v>
                </c:pt>
                <c:pt idx="55">
                  <c:v>41605</c:v>
                </c:pt>
                <c:pt idx="56">
                  <c:v>41613</c:v>
                </c:pt>
                <c:pt idx="57">
                  <c:v>41620</c:v>
                </c:pt>
                <c:pt idx="58">
                  <c:v>41627</c:v>
                </c:pt>
                <c:pt idx="59">
                  <c:v>41638</c:v>
                </c:pt>
                <c:pt idx="60">
                  <c:v>41648</c:v>
                </c:pt>
                <c:pt idx="61">
                  <c:v>41655</c:v>
                </c:pt>
                <c:pt idx="62">
                  <c:v>41662</c:v>
                </c:pt>
                <c:pt idx="63">
                  <c:v>41669</c:v>
                </c:pt>
                <c:pt idx="64">
                  <c:v>41676</c:v>
                </c:pt>
                <c:pt idx="65">
                  <c:v>41683</c:v>
                </c:pt>
                <c:pt idx="66">
                  <c:v>41690</c:v>
                </c:pt>
                <c:pt idx="67">
                  <c:v>41697</c:v>
                </c:pt>
                <c:pt idx="68">
                  <c:v>41704</c:v>
                </c:pt>
                <c:pt idx="69">
                  <c:v>41711</c:v>
                </c:pt>
                <c:pt idx="70">
                  <c:v>41718</c:v>
                </c:pt>
                <c:pt idx="71">
                  <c:v>41725</c:v>
                </c:pt>
                <c:pt idx="72">
                  <c:v>41732</c:v>
                </c:pt>
                <c:pt idx="73">
                  <c:v>41739</c:v>
                </c:pt>
                <c:pt idx="74">
                  <c:v>41746</c:v>
                </c:pt>
                <c:pt idx="75">
                  <c:v>41753</c:v>
                </c:pt>
                <c:pt idx="76">
                  <c:v>41760</c:v>
                </c:pt>
                <c:pt idx="77">
                  <c:v>41767</c:v>
                </c:pt>
                <c:pt idx="78">
                  <c:v>41774</c:v>
                </c:pt>
                <c:pt idx="79">
                  <c:v>41781</c:v>
                </c:pt>
                <c:pt idx="80">
                  <c:v>41788</c:v>
                </c:pt>
                <c:pt idx="81">
                  <c:v>41795</c:v>
                </c:pt>
                <c:pt idx="82">
                  <c:v>41802</c:v>
                </c:pt>
                <c:pt idx="83">
                  <c:v>41809</c:v>
                </c:pt>
                <c:pt idx="84">
                  <c:v>41872</c:v>
                </c:pt>
                <c:pt idx="85">
                  <c:v>41893</c:v>
                </c:pt>
                <c:pt idx="86">
                  <c:v>41897</c:v>
                </c:pt>
                <c:pt idx="87">
                  <c:v>41904</c:v>
                </c:pt>
                <c:pt idx="88">
                  <c:v>41907</c:v>
                </c:pt>
                <c:pt idx="89">
                  <c:v>41910</c:v>
                </c:pt>
                <c:pt idx="90">
                  <c:v>41917</c:v>
                </c:pt>
                <c:pt idx="91">
                  <c:v>41924</c:v>
                </c:pt>
                <c:pt idx="92">
                  <c:v>41932</c:v>
                </c:pt>
                <c:pt idx="93">
                  <c:v>41939</c:v>
                </c:pt>
              </c:numCache>
            </c:numRef>
          </c:cat>
          <c:val>
            <c:numRef>
              <c:f>Metrics!$B$4:$CQ$4</c:f>
              <c:numCache>
                <c:formatCode>General</c:formatCode>
                <c:ptCount val="94"/>
                <c:pt idx="0">
                  <c:v>79</c:v>
                </c:pt>
                <c:pt idx="1">
                  <c:v>79</c:v>
                </c:pt>
                <c:pt idx="2">
                  <c:v>79</c:v>
                </c:pt>
                <c:pt idx="3">
                  <c:v>63</c:v>
                </c:pt>
                <c:pt idx="4">
                  <c:v>59</c:v>
                </c:pt>
                <c:pt idx="5">
                  <c:v>66</c:v>
                </c:pt>
                <c:pt idx="6">
                  <c:v>72</c:v>
                </c:pt>
                <c:pt idx="7">
                  <c:v>91</c:v>
                </c:pt>
                <c:pt idx="8">
                  <c:v>90</c:v>
                </c:pt>
                <c:pt idx="9">
                  <c:v>90</c:v>
                </c:pt>
                <c:pt idx="10">
                  <c:v>90</c:v>
                </c:pt>
                <c:pt idx="11">
                  <c:v>87</c:v>
                </c:pt>
                <c:pt idx="12">
                  <c:v>84</c:v>
                </c:pt>
                <c:pt idx="13">
                  <c:v>84</c:v>
                </c:pt>
                <c:pt idx="14">
                  <c:v>83</c:v>
                </c:pt>
                <c:pt idx="15">
                  <c:v>83</c:v>
                </c:pt>
                <c:pt idx="16">
                  <c:v>84</c:v>
                </c:pt>
                <c:pt idx="17">
                  <c:v>84</c:v>
                </c:pt>
                <c:pt idx="18">
                  <c:v>87</c:v>
                </c:pt>
                <c:pt idx="19">
                  <c:v>79</c:v>
                </c:pt>
                <c:pt idx="20">
                  <c:v>73</c:v>
                </c:pt>
                <c:pt idx="21">
                  <c:v>76</c:v>
                </c:pt>
                <c:pt idx="22">
                  <c:v>79</c:v>
                </c:pt>
                <c:pt idx="23">
                  <c:v>84</c:v>
                </c:pt>
                <c:pt idx="24">
                  <c:v>79</c:v>
                </c:pt>
                <c:pt idx="25">
                  <c:v>75</c:v>
                </c:pt>
                <c:pt idx="26">
                  <c:v>74</c:v>
                </c:pt>
                <c:pt idx="27">
                  <c:v>79</c:v>
                </c:pt>
                <c:pt idx="28">
                  <c:v>80</c:v>
                </c:pt>
                <c:pt idx="29">
                  <c:v>86</c:v>
                </c:pt>
                <c:pt idx="30">
                  <c:v>89</c:v>
                </c:pt>
                <c:pt idx="31">
                  <c:v>95</c:v>
                </c:pt>
                <c:pt idx="32">
                  <c:v>97</c:v>
                </c:pt>
                <c:pt idx="33">
                  <c:v>104</c:v>
                </c:pt>
                <c:pt idx="34">
                  <c:v>107</c:v>
                </c:pt>
                <c:pt idx="35">
                  <c:v>110</c:v>
                </c:pt>
                <c:pt idx="36">
                  <c:v>117</c:v>
                </c:pt>
                <c:pt idx="37">
                  <c:v>122</c:v>
                </c:pt>
                <c:pt idx="38">
                  <c:v>125</c:v>
                </c:pt>
                <c:pt idx="39">
                  <c:v>125</c:v>
                </c:pt>
                <c:pt idx="40">
                  <c:v>124</c:v>
                </c:pt>
                <c:pt idx="41">
                  <c:v>119</c:v>
                </c:pt>
                <c:pt idx="42">
                  <c:v>123</c:v>
                </c:pt>
                <c:pt idx="43">
                  <c:v>118</c:v>
                </c:pt>
                <c:pt idx="44">
                  <c:v>120</c:v>
                </c:pt>
                <c:pt idx="45">
                  <c:v>122</c:v>
                </c:pt>
                <c:pt idx="46">
                  <c:v>113</c:v>
                </c:pt>
                <c:pt idx="47">
                  <c:v>113</c:v>
                </c:pt>
                <c:pt idx="48">
                  <c:v>113</c:v>
                </c:pt>
                <c:pt idx="49">
                  <c:v>109</c:v>
                </c:pt>
                <c:pt idx="50">
                  <c:v>112</c:v>
                </c:pt>
                <c:pt idx="51">
                  <c:v>114</c:v>
                </c:pt>
                <c:pt idx="52">
                  <c:v>112</c:v>
                </c:pt>
                <c:pt idx="53">
                  <c:v>121</c:v>
                </c:pt>
                <c:pt idx="54">
                  <c:v>125</c:v>
                </c:pt>
                <c:pt idx="55">
                  <c:v>131</c:v>
                </c:pt>
                <c:pt idx="56">
                  <c:v>134</c:v>
                </c:pt>
                <c:pt idx="57">
                  <c:v>137</c:v>
                </c:pt>
                <c:pt idx="58">
                  <c:v>131</c:v>
                </c:pt>
                <c:pt idx="59">
                  <c:v>130</c:v>
                </c:pt>
                <c:pt idx="60">
                  <c:v>135</c:v>
                </c:pt>
                <c:pt idx="61">
                  <c:v>135</c:v>
                </c:pt>
                <c:pt idx="62">
                  <c:v>133</c:v>
                </c:pt>
                <c:pt idx="63">
                  <c:v>139</c:v>
                </c:pt>
                <c:pt idx="64">
                  <c:v>132</c:v>
                </c:pt>
                <c:pt idx="65">
                  <c:v>135</c:v>
                </c:pt>
                <c:pt idx="66">
                  <c:v>132</c:v>
                </c:pt>
                <c:pt idx="67">
                  <c:v>133</c:v>
                </c:pt>
                <c:pt idx="68">
                  <c:v>136</c:v>
                </c:pt>
                <c:pt idx="69">
                  <c:v>139</c:v>
                </c:pt>
                <c:pt idx="70">
                  <c:v>136</c:v>
                </c:pt>
                <c:pt idx="71">
                  <c:v>137</c:v>
                </c:pt>
                <c:pt idx="72">
                  <c:v>141</c:v>
                </c:pt>
                <c:pt idx="73">
                  <c:v>146</c:v>
                </c:pt>
                <c:pt idx="74">
                  <c:v>150</c:v>
                </c:pt>
                <c:pt idx="75">
                  <c:v>148</c:v>
                </c:pt>
                <c:pt idx="76">
                  <c:v>147</c:v>
                </c:pt>
                <c:pt idx="77">
                  <c:v>144</c:v>
                </c:pt>
                <c:pt idx="78">
                  <c:v>142</c:v>
                </c:pt>
                <c:pt idx="79">
                  <c:v>134</c:v>
                </c:pt>
                <c:pt idx="80">
                  <c:v>136</c:v>
                </c:pt>
                <c:pt idx="81">
                  <c:v>141</c:v>
                </c:pt>
                <c:pt idx="82">
                  <c:v>143</c:v>
                </c:pt>
                <c:pt idx="83">
                  <c:v>143</c:v>
                </c:pt>
                <c:pt idx="84">
                  <c:v>160</c:v>
                </c:pt>
                <c:pt idx="85">
                  <c:v>166</c:v>
                </c:pt>
                <c:pt idx="86">
                  <c:v>148</c:v>
                </c:pt>
                <c:pt idx="87">
                  <c:v>149</c:v>
                </c:pt>
                <c:pt idx="88">
                  <c:v>150</c:v>
                </c:pt>
                <c:pt idx="89">
                  <c:v>153</c:v>
                </c:pt>
                <c:pt idx="90">
                  <c:v>150</c:v>
                </c:pt>
                <c:pt idx="91">
                  <c:v>149</c:v>
                </c:pt>
                <c:pt idx="92">
                  <c:v>140</c:v>
                </c:pt>
                <c:pt idx="93">
                  <c:v>135</c:v>
                </c:pt>
              </c:numCache>
            </c:numRef>
          </c:val>
          <c:smooth val="0"/>
        </c:ser>
        <c:ser>
          <c:idx val="1"/>
          <c:order val="1"/>
          <c:tx>
            <c:strRef>
              <c:f>Metrics!$A$5</c:f>
              <c:strCache>
                <c:ptCount val="1"/>
                <c:pt idx="0">
                  <c:v>CNs past target date for completion</c:v>
                </c:pt>
              </c:strCache>
            </c:strRef>
          </c:tx>
          <c:cat>
            <c:numRef>
              <c:f>Metrics!$B$3:$CQ$3</c:f>
              <c:numCache>
                <c:formatCode>m/d/yyyy</c:formatCode>
                <c:ptCount val="94"/>
                <c:pt idx="0">
                  <c:v>40926</c:v>
                </c:pt>
                <c:pt idx="1">
                  <c:v>40948</c:v>
                </c:pt>
                <c:pt idx="2">
                  <c:v>41003</c:v>
                </c:pt>
                <c:pt idx="3">
                  <c:v>41036</c:v>
                </c:pt>
                <c:pt idx="4">
                  <c:v>41065</c:v>
                </c:pt>
                <c:pt idx="5">
                  <c:v>41102</c:v>
                </c:pt>
                <c:pt idx="6">
                  <c:v>41130</c:v>
                </c:pt>
                <c:pt idx="7">
                  <c:v>41298</c:v>
                </c:pt>
                <c:pt idx="8">
                  <c:v>41319</c:v>
                </c:pt>
                <c:pt idx="9">
                  <c:v>41324</c:v>
                </c:pt>
                <c:pt idx="10">
                  <c:v>41326</c:v>
                </c:pt>
                <c:pt idx="11">
                  <c:v>41331</c:v>
                </c:pt>
                <c:pt idx="12">
                  <c:v>41338</c:v>
                </c:pt>
                <c:pt idx="13">
                  <c:v>41340</c:v>
                </c:pt>
                <c:pt idx="14">
                  <c:v>41341</c:v>
                </c:pt>
                <c:pt idx="15">
                  <c:v>41345</c:v>
                </c:pt>
                <c:pt idx="16">
                  <c:v>41346</c:v>
                </c:pt>
                <c:pt idx="17">
                  <c:v>41351</c:v>
                </c:pt>
                <c:pt idx="18">
                  <c:v>41357</c:v>
                </c:pt>
                <c:pt idx="19">
                  <c:v>41362</c:v>
                </c:pt>
                <c:pt idx="20">
                  <c:v>41365</c:v>
                </c:pt>
                <c:pt idx="21">
                  <c:v>41368</c:v>
                </c:pt>
                <c:pt idx="22">
                  <c:v>41373</c:v>
                </c:pt>
                <c:pt idx="23">
                  <c:v>41379</c:v>
                </c:pt>
                <c:pt idx="24">
                  <c:v>41392</c:v>
                </c:pt>
                <c:pt idx="25">
                  <c:v>41392</c:v>
                </c:pt>
                <c:pt idx="26">
                  <c:v>41392</c:v>
                </c:pt>
                <c:pt idx="27">
                  <c:v>41400</c:v>
                </c:pt>
                <c:pt idx="28">
                  <c:v>41407</c:v>
                </c:pt>
                <c:pt idx="29">
                  <c:v>41414</c:v>
                </c:pt>
                <c:pt idx="30">
                  <c:v>41424</c:v>
                </c:pt>
                <c:pt idx="31">
                  <c:v>41431</c:v>
                </c:pt>
                <c:pt idx="32">
                  <c:v>41438</c:v>
                </c:pt>
                <c:pt idx="33">
                  <c:v>41445</c:v>
                </c:pt>
                <c:pt idx="34">
                  <c:v>41452</c:v>
                </c:pt>
                <c:pt idx="35">
                  <c:v>41466</c:v>
                </c:pt>
                <c:pt idx="36">
                  <c:v>41473</c:v>
                </c:pt>
                <c:pt idx="37">
                  <c:v>41480</c:v>
                </c:pt>
                <c:pt idx="38">
                  <c:v>41487</c:v>
                </c:pt>
                <c:pt idx="39">
                  <c:v>41494</c:v>
                </c:pt>
                <c:pt idx="40">
                  <c:v>41501</c:v>
                </c:pt>
                <c:pt idx="41">
                  <c:v>41508</c:v>
                </c:pt>
                <c:pt idx="42">
                  <c:v>41515</c:v>
                </c:pt>
                <c:pt idx="43">
                  <c:v>41522</c:v>
                </c:pt>
                <c:pt idx="44">
                  <c:v>41529</c:v>
                </c:pt>
                <c:pt idx="45">
                  <c:v>41536</c:v>
                </c:pt>
                <c:pt idx="46">
                  <c:v>41543</c:v>
                </c:pt>
                <c:pt idx="47">
                  <c:v>41550</c:v>
                </c:pt>
                <c:pt idx="48">
                  <c:v>41557</c:v>
                </c:pt>
                <c:pt idx="49">
                  <c:v>41564</c:v>
                </c:pt>
                <c:pt idx="50">
                  <c:v>41571</c:v>
                </c:pt>
                <c:pt idx="51">
                  <c:v>41578</c:v>
                </c:pt>
                <c:pt idx="52">
                  <c:v>41585</c:v>
                </c:pt>
                <c:pt idx="53">
                  <c:v>41592</c:v>
                </c:pt>
                <c:pt idx="54">
                  <c:v>41599</c:v>
                </c:pt>
                <c:pt idx="55">
                  <c:v>41605</c:v>
                </c:pt>
                <c:pt idx="56">
                  <c:v>41613</c:v>
                </c:pt>
                <c:pt idx="57">
                  <c:v>41620</c:v>
                </c:pt>
                <c:pt idx="58">
                  <c:v>41627</c:v>
                </c:pt>
                <c:pt idx="59">
                  <c:v>41638</c:v>
                </c:pt>
                <c:pt idx="60">
                  <c:v>41648</c:v>
                </c:pt>
                <c:pt idx="61">
                  <c:v>41655</c:v>
                </c:pt>
                <c:pt idx="62">
                  <c:v>41662</c:v>
                </c:pt>
                <c:pt idx="63">
                  <c:v>41669</c:v>
                </c:pt>
                <c:pt idx="64">
                  <c:v>41676</c:v>
                </c:pt>
                <c:pt idx="65">
                  <c:v>41683</c:v>
                </c:pt>
                <c:pt idx="66">
                  <c:v>41690</c:v>
                </c:pt>
                <c:pt idx="67">
                  <c:v>41697</c:v>
                </c:pt>
                <c:pt idx="68">
                  <c:v>41704</c:v>
                </c:pt>
                <c:pt idx="69">
                  <c:v>41711</c:v>
                </c:pt>
                <c:pt idx="70">
                  <c:v>41718</c:v>
                </c:pt>
                <c:pt idx="71">
                  <c:v>41725</c:v>
                </c:pt>
                <c:pt idx="72">
                  <c:v>41732</c:v>
                </c:pt>
                <c:pt idx="73">
                  <c:v>41739</c:v>
                </c:pt>
                <c:pt idx="74">
                  <c:v>41746</c:v>
                </c:pt>
                <c:pt idx="75">
                  <c:v>41753</c:v>
                </c:pt>
                <c:pt idx="76">
                  <c:v>41760</c:v>
                </c:pt>
                <c:pt idx="77">
                  <c:v>41767</c:v>
                </c:pt>
                <c:pt idx="78">
                  <c:v>41774</c:v>
                </c:pt>
                <c:pt idx="79">
                  <c:v>41781</c:v>
                </c:pt>
                <c:pt idx="80">
                  <c:v>41788</c:v>
                </c:pt>
                <c:pt idx="81">
                  <c:v>41795</c:v>
                </c:pt>
                <c:pt idx="82">
                  <c:v>41802</c:v>
                </c:pt>
                <c:pt idx="83">
                  <c:v>41809</c:v>
                </c:pt>
                <c:pt idx="84">
                  <c:v>41872</c:v>
                </c:pt>
                <c:pt idx="85">
                  <c:v>41893</c:v>
                </c:pt>
                <c:pt idx="86">
                  <c:v>41897</c:v>
                </c:pt>
                <c:pt idx="87">
                  <c:v>41904</c:v>
                </c:pt>
                <c:pt idx="88">
                  <c:v>41907</c:v>
                </c:pt>
                <c:pt idx="89">
                  <c:v>41910</c:v>
                </c:pt>
                <c:pt idx="90">
                  <c:v>41917</c:v>
                </c:pt>
                <c:pt idx="91">
                  <c:v>41924</c:v>
                </c:pt>
                <c:pt idx="92">
                  <c:v>41932</c:v>
                </c:pt>
                <c:pt idx="93">
                  <c:v>41939</c:v>
                </c:pt>
              </c:numCache>
            </c:numRef>
          </c:cat>
          <c:val>
            <c:numRef>
              <c:f>Metrics!$B$5:$CQ$5</c:f>
              <c:numCache>
                <c:formatCode>General</c:formatCode>
                <c:ptCount val="94"/>
                <c:pt idx="0">
                  <c:v>49</c:v>
                </c:pt>
                <c:pt idx="1">
                  <c:v>57</c:v>
                </c:pt>
                <c:pt idx="2">
                  <c:v>56</c:v>
                </c:pt>
                <c:pt idx="3">
                  <c:v>42</c:v>
                </c:pt>
                <c:pt idx="4">
                  <c:v>31</c:v>
                </c:pt>
                <c:pt idx="5">
                  <c:v>29</c:v>
                </c:pt>
                <c:pt idx="6">
                  <c:v>38</c:v>
                </c:pt>
                <c:pt idx="7">
                  <c:v>75</c:v>
                </c:pt>
                <c:pt idx="8">
                  <c:v>83</c:v>
                </c:pt>
                <c:pt idx="9">
                  <c:v>83</c:v>
                </c:pt>
                <c:pt idx="10">
                  <c:v>79</c:v>
                </c:pt>
                <c:pt idx="11">
                  <c:v>76</c:v>
                </c:pt>
                <c:pt idx="12">
                  <c:v>75</c:v>
                </c:pt>
                <c:pt idx="13">
                  <c:v>52</c:v>
                </c:pt>
                <c:pt idx="14">
                  <c:v>51</c:v>
                </c:pt>
                <c:pt idx="15">
                  <c:v>51</c:v>
                </c:pt>
                <c:pt idx="16">
                  <c:v>51</c:v>
                </c:pt>
                <c:pt idx="17">
                  <c:v>54</c:v>
                </c:pt>
                <c:pt idx="18">
                  <c:v>51</c:v>
                </c:pt>
                <c:pt idx="19">
                  <c:v>41</c:v>
                </c:pt>
                <c:pt idx="20">
                  <c:v>29</c:v>
                </c:pt>
                <c:pt idx="21">
                  <c:v>22</c:v>
                </c:pt>
                <c:pt idx="22">
                  <c:v>22</c:v>
                </c:pt>
                <c:pt idx="23">
                  <c:v>22</c:v>
                </c:pt>
                <c:pt idx="24">
                  <c:v>32</c:v>
                </c:pt>
                <c:pt idx="25">
                  <c:v>28</c:v>
                </c:pt>
                <c:pt idx="26">
                  <c:v>27</c:v>
                </c:pt>
                <c:pt idx="27">
                  <c:v>30</c:v>
                </c:pt>
                <c:pt idx="28">
                  <c:v>33</c:v>
                </c:pt>
                <c:pt idx="29">
                  <c:v>36</c:v>
                </c:pt>
                <c:pt idx="30">
                  <c:v>32</c:v>
                </c:pt>
                <c:pt idx="31">
                  <c:v>38</c:v>
                </c:pt>
                <c:pt idx="32">
                  <c:v>37</c:v>
                </c:pt>
                <c:pt idx="33">
                  <c:v>38</c:v>
                </c:pt>
                <c:pt idx="34">
                  <c:v>39</c:v>
                </c:pt>
                <c:pt idx="35">
                  <c:v>36</c:v>
                </c:pt>
                <c:pt idx="36">
                  <c:v>43</c:v>
                </c:pt>
                <c:pt idx="37">
                  <c:v>46</c:v>
                </c:pt>
                <c:pt idx="38">
                  <c:v>41</c:v>
                </c:pt>
                <c:pt idx="39">
                  <c:v>52</c:v>
                </c:pt>
                <c:pt idx="40">
                  <c:v>53</c:v>
                </c:pt>
                <c:pt idx="41">
                  <c:v>59</c:v>
                </c:pt>
                <c:pt idx="42">
                  <c:v>59</c:v>
                </c:pt>
                <c:pt idx="43">
                  <c:v>68</c:v>
                </c:pt>
                <c:pt idx="44">
                  <c:v>83</c:v>
                </c:pt>
                <c:pt idx="45">
                  <c:v>87</c:v>
                </c:pt>
                <c:pt idx="46">
                  <c:v>72</c:v>
                </c:pt>
                <c:pt idx="47">
                  <c:v>72</c:v>
                </c:pt>
                <c:pt idx="48">
                  <c:v>70</c:v>
                </c:pt>
                <c:pt idx="49">
                  <c:v>66</c:v>
                </c:pt>
                <c:pt idx="50">
                  <c:v>69</c:v>
                </c:pt>
                <c:pt idx="51">
                  <c:v>67</c:v>
                </c:pt>
                <c:pt idx="52">
                  <c:v>63</c:v>
                </c:pt>
                <c:pt idx="53">
                  <c:v>66</c:v>
                </c:pt>
                <c:pt idx="54">
                  <c:v>68</c:v>
                </c:pt>
                <c:pt idx="55">
                  <c:v>70</c:v>
                </c:pt>
                <c:pt idx="56">
                  <c:v>72</c:v>
                </c:pt>
                <c:pt idx="57">
                  <c:v>79</c:v>
                </c:pt>
                <c:pt idx="58">
                  <c:v>79</c:v>
                </c:pt>
                <c:pt idx="59">
                  <c:v>77</c:v>
                </c:pt>
                <c:pt idx="60">
                  <c:v>79</c:v>
                </c:pt>
                <c:pt idx="61">
                  <c:v>82</c:v>
                </c:pt>
                <c:pt idx="62">
                  <c:v>80</c:v>
                </c:pt>
                <c:pt idx="63">
                  <c:v>83</c:v>
                </c:pt>
                <c:pt idx="64">
                  <c:v>77</c:v>
                </c:pt>
                <c:pt idx="65">
                  <c:v>79</c:v>
                </c:pt>
                <c:pt idx="66">
                  <c:v>76</c:v>
                </c:pt>
                <c:pt idx="67">
                  <c:v>77</c:v>
                </c:pt>
                <c:pt idx="68">
                  <c:v>82</c:v>
                </c:pt>
                <c:pt idx="69">
                  <c:v>83</c:v>
                </c:pt>
                <c:pt idx="70">
                  <c:v>82</c:v>
                </c:pt>
                <c:pt idx="71">
                  <c:v>80</c:v>
                </c:pt>
                <c:pt idx="72">
                  <c:v>84</c:v>
                </c:pt>
                <c:pt idx="73">
                  <c:v>87</c:v>
                </c:pt>
                <c:pt idx="74">
                  <c:v>93</c:v>
                </c:pt>
                <c:pt idx="75">
                  <c:v>89</c:v>
                </c:pt>
                <c:pt idx="76">
                  <c:v>85</c:v>
                </c:pt>
                <c:pt idx="77">
                  <c:v>86</c:v>
                </c:pt>
                <c:pt idx="78">
                  <c:v>85</c:v>
                </c:pt>
                <c:pt idx="79">
                  <c:v>74</c:v>
                </c:pt>
                <c:pt idx="80">
                  <c:v>75</c:v>
                </c:pt>
                <c:pt idx="81">
                  <c:v>83</c:v>
                </c:pt>
                <c:pt idx="82">
                  <c:v>86</c:v>
                </c:pt>
                <c:pt idx="83">
                  <c:v>89</c:v>
                </c:pt>
                <c:pt idx="84">
                  <c:v>129</c:v>
                </c:pt>
                <c:pt idx="85">
                  <c:v>133</c:v>
                </c:pt>
                <c:pt idx="86">
                  <c:v>117</c:v>
                </c:pt>
                <c:pt idx="87">
                  <c:v>119</c:v>
                </c:pt>
                <c:pt idx="88">
                  <c:v>119</c:v>
                </c:pt>
                <c:pt idx="89">
                  <c:v>119</c:v>
                </c:pt>
                <c:pt idx="90">
                  <c:v>116</c:v>
                </c:pt>
                <c:pt idx="91">
                  <c:v>112</c:v>
                </c:pt>
                <c:pt idx="92">
                  <c:v>98</c:v>
                </c:pt>
                <c:pt idx="93">
                  <c:v>92</c:v>
                </c:pt>
              </c:numCache>
            </c:numRef>
          </c:val>
          <c:smooth val="0"/>
        </c:ser>
        <c:ser>
          <c:idx val="2"/>
          <c:order val="2"/>
          <c:tx>
            <c:strRef>
              <c:f>Metrics!$A$6</c:f>
              <c:strCache>
                <c:ptCount val="1"/>
                <c:pt idx="0">
                  <c:v>CNs in progress, not past due</c:v>
                </c:pt>
              </c:strCache>
            </c:strRef>
          </c:tx>
          <c:spPr>
            <a:ln>
              <a:solidFill>
                <a:schemeClr val="accent4">
                  <a:lumMod val="75000"/>
                </a:schemeClr>
              </a:solidFill>
            </a:ln>
          </c:spPr>
          <c:marker>
            <c:spPr>
              <a:solidFill>
                <a:schemeClr val="accent4">
                  <a:lumMod val="75000"/>
                </a:schemeClr>
              </a:solidFill>
              <a:ln>
                <a:solidFill>
                  <a:schemeClr val="accent4">
                    <a:lumMod val="75000"/>
                  </a:schemeClr>
                </a:solidFill>
              </a:ln>
            </c:spPr>
          </c:marker>
          <c:cat>
            <c:numRef>
              <c:f>Metrics!$B$3:$CQ$3</c:f>
              <c:numCache>
                <c:formatCode>m/d/yyyy</c:formatCode>
                <c:ptCount val="94"/>
                <c:pt idx="0">
                  <c:v>40926</c:v>
                </c:pt>
                <c:pt idx="1">
                  <c:v>40948</c:v>
                </c:pt>
                <c:pt idx="2">
                  <c:v>41003</c:v>
                </c:pt>
                <c:pt idx="3">
                  <c:v>41036</c:v>
                </c:pt>
                <c:pt idx="4">
                  <c:v>41065</c:v>
                </c:pt>
                <c:pt idx="5">
                  <c:v>41102</c:v>
                </c:pt>
                <c:pt idx="6">
                  <c:v>41130</c:v>
                </c:pt>
                <c:pt idx="7">
                  <c:v>41298</c:v>
                </c:pt>
                <c:pt idx="8">
                  <c:v>41319</c:v>
                </c:pt>
                <c:pt idx="9">
                  <c:v>41324</c:v>
                </c:pt>
                <c:pt idx="10">
                  <c:v>41326</c:v>
                </c:pt>
                <c:pt idx="11">
                  <c:v>41331</c:v>
                </c:pt>
                <c:pt idx="12">
                  <c:v>41338</c:v>
                </c:pt>
                <c:pt idx="13">
                  <c:v>41340</c:v>
                </c:pt>
                <c:pt idx="14">
                  <c:v>41341</c:v>
                </c:pt>
                <c:pt idx="15">
                  <c:v>41345</c:v>
                </c:pt>
                <c:pt idx="16">
                  <c:v>41346</c:v>
                </c:pt>
                <c:pt idx="17">
                  <c:v>41351</c:v>
                </c:pt>
                <c:pt idx="18">
                  <c:v>41357</c:v>
                </c:pt>
                <c:pt idx="19">
                  <c:v>41362</c:v>
                </c:pt>
                <c:pt idx="20">
                  <c:v>41365</c:v>
                </c:pt>
                <c:pt idx="21">
                  <c:v>41368</c:v>
                </c:pt>
                <c:pt idx="22">
                  <c:v>41373</c:v>
                </c:pt>
                <c:pt idx="23">
                  <c:v>41379</c:v>
                </c:pt>
                <c:pt idx="24">
                  <c:v>41392</c:v>
                </c:pt>
                <c:pt idx="25">
                  <c:v>41392</c:v>
                </c:pt>
                <c:pt idx="26">
                  <c:v>41392</c:v>
                </c:pt>
                <c:pt idx="27">
                  <c:v>41400</c:v>
                </c:pt>
                <c:pt idx="28">
                  <c:v>41407</c:v>
                </c:pt>
                <c:pt idx="29">
                  <c:v>41414</c:v>
                </c:pt>
                <c:pt idx="30">
                  <c:v>41424</c:v>
                </c:pt>
                <c:pt idx="31">
                  <c:v>41431</c:v>
                </c:pt>
                <c:pt idx="32">
                  <c:v>41438</c:v>
                </c:pt>
                <c:pt idx="33">
                  <c:v>41445</c:v>
                </c:pt>
                <c:pt idx="34">
                  <c:v>41452</c:v>
                </c:pt>
                <c:pt idx="35">
                  <c:v>41466</c:v>
                </c:pt>
                <c:pt idx="36">
                  <c:v>41473</c:v>
                </c:pt>
                <c:pt idx="37">
                  <c:v>41480</c:v>
                </c:pt>
                <c:pt idx="38">
                  <c:v>41487</c:v>
                </c:pt>
                <c:pt idx="39">
                  <c:v>41494</c:v>
                </c:pt>
                <c:pt idx="40">
                  <c:v>41501</c:v>
                </c:pt>
                <c:pt idx="41">
                  <c:v>41508</c:v>
                </c:pt>
                <c:pt idx="42">
                  <c:v>41515</c:v>
                </c:pt>
                <c:pt idx="43">
                  <c:v>41522</c:v>
                </c:pt>
                <c:pt idx="44">
                  <c:v>41529</c:v>
                </c:pt>
                <c:pt idx="45">
                  <c:v>41536</c:v>
                </c:pt>
                <c:pt idx="46">
                  <c:v>41543</c:v>
                </c:pt>
                <c:pt idx="47">
                  <c:v>41550</c:v>
                </c:pt>
                <c:pt idx="48">
                  <c:v>41557</c:v>
                </c:pt>
                <c:pt idx="49">
                  <c:v>41564</c:v>
                </c:pt>
                <c:pt idx="50">
                  <c:v>41571</c:v>
                </c:pt>
                <c:pt idx="51">
                  <c:v>41578</c:v>
                </c:pt>
                <c:pt idx="52">
                  <c:v>41585</c:v>
                </c:pt>
                <c:pt idx="53">
                  <c:v>41592</c:v>
                </c:pt>
                <c:pt idx="54">
                  <c:v>41599</c:v>
                </c:pt>
                <c:pt idx="55">
                  <c:v>41605</c:v>
                </c:pt>
                <c:pt idx="56">
                  <c:v>41613</c:v>
                </c:pt>
                <c:pt idx="57">
                  <c:v>41620</c:v>
                </c:pt>
                <c:pt idx="58">
                  <c:v>41627</c:v>
                </c:pt>
                <c:pt idx="59">
                  <c:v>41638</c:v>
                </c:pt>
                <c:pt idx="60">
                  <c:v>41648</c:v>
                </c:pt>
                <c:pt idx="61">
                  <c:v>41655</c:v>
                </c:pt>
                <c:pt idx="62">
                  <c:v>41662</c:v>
                </c:pt>
                <c:pt idx="63">
                  <c:v>41669</c:v>
                </c:pt>
                <c:pt idx="64">
                  <c:v>41676</c:v>
                </c:pt>
                <c:pt idx="65">
                  <c:v>41683</c:v>
                </c:pt>
                <c:pt idx="66">
                  <c:v>41690</c:v>
                </c:pt>
                <c:pt idx="67">
                  <c:v>41697</c:v>
                </c:pt>
                <c:pt idx="68">
                  <c:v>41704</c:v>
                </c:pt>
                <c:pt idx="69">
                  <c:v>41711</c:v>
                </c:pt>
                <c:pt idx="70">
                  <c:v>41718</c:v>
                </c:pt>
                <c:pt idx="71">
                  <c:v>41725</c:v>
                </c:pt>
                <c:pt idx="72">
                  <c:v>41732</c:v>
                </c:pt>
                <c:pt idx="73">
                  <c:v>41739</c:v>
                </c:pt>
                <c:pt idx="74">
                  <c:v>41746</c:v>
                </c:pt>
                <c:pt idx="75">
                  <c:v>41753</c:v>
                </c:pt>
                <c:pt idx="76">
                  <c:v>41760</c:v>
                </c:pt>
                <c:pt idx="77">
                  <c:v>41767</c:v>
                </c:pt>
                <c:pt idx="78">
                  <c:v>41774</c:v>
                </c:pt>
                <c:pt idx="79">
                  <c:v>41781</c:v>
                </c:pt>
                <c:pt idx="80">
                  <c:v>41788</c:v>
                </c:pt>
                <c:pt idx="81">
                  <c:v>41795</c:v>
                </c:pt>
                <c:pt idx="82">
                  <c:v>41802</c:v>
                </c:pt>
                <c:pt idx="83">
                  <c:v>41809</c:v>
                </c:pt>
                <c:pt idx="84">
                  <c:v>41872</c:v>
                </c:pt>
                <c:pt idx="85">
                  <c:v>41893</c:v>
                </c:pt>
                <c:pt idx="86">
                  <c:v>41897</c:v>
                </c:pt>
                <c:pt idx="87">
                  <c:v>41904</c:v>
                </c:pt>
                <c:pt idx="88">
                  <c:v>41907</c:v>
                </c:pt>
                <c:pt idx="89">
                  <c:v>41910</c:v>
                </c:pt>
                <c:pt idx="90">
                  <c:v>41917</c:v>
                </c:pt>
                <c:pt idx="91">
                  <c:v>41924</c:v>
                </c:pt>
                <c:pt idx="92">
                  <c:v>41932</c:v>
                </c:pt>
                <c:pt idx="93">
                  <c:v>41939</c:v>
                </c:pt>
              </c:numCache>
            </c:numRef>
          </c:cat>
          <c:val>
            <c:numRef>
              <c:f>Metrics!$B$6:$CQ$6</c:f>
              <c:numCache>
                <c:formatCode>General</c:formatCode>
                <c:ptCount val="94"/>
                <c:pt idx="0">
                  <c:v>30</c:v>
                </c:pt>
                <c:pt idx="1">
                  <c:v>22</c:v>
                </c:pt>
                <c:pt idx="2">
                  <c:v>23</c:v>
                </c:pt>
                <c:pt idx="3">
                  <c:v>21</c:v>
                </c:pt>
                <c:pt idx="4">
                  <c:v>28</c:v>
                </c:pt>
                <c:pt idx="5">
                  <c:v>37</c:v>
                </c:pt>
                <c:pt idx="6">
                  <c:v>34</c:v>
                </c:pt>
                <c:pt idx="7">
                  <c:v>16</c:v>
                </c:pt>
                <c:pt idx="8">
                  <c:v>7</c:v>
                </c:pt>
                <c:pt idx="9">
                  <c:v>7</c:v>
                </c:pt>
                <c:pt idx="10">
                  <c:v>11</c:v>
                </c:pt>
                <c:pt idx="11">
                  <c:v>11</c:v>
                </c:pt>
                <c:pt idx="12">
                  <c:v>9</c:v>
                </c:pt>
                <c:pt idx="13">
                  <c:v>32</c:v>
                </c:pt>
                <c:pt idx="14">
                  <c:v>32</c:v>
                </c:pt>
                <c:pt idx="15">
                  <c:v>32</c:v>
                </c:pt>
                <c:pt idx="16">
                  <c:v>33</c:v>
                </c:pt>
                <c:pt idx="17">
                  <c:v>30</c:v>
                </c:pt>
                <c:pt idx="18">
                  <c:v>36</c:v>
                </c:pt>
                <c:pt idx="19">
                  <c:v>38</c:v>
                </c:pt>
                <c:pt idx="20">
                  <c:v>44</c:v>
                </c:pt>
                <c:pt idx="21">
                  <c:v>54</c:v>
                </c:pt>
                <c:pt idx="22">
                  <c:v>57</c:v>
                </c:pt>
                <c:pt idx="23">
                  <c:v>62</c:v>
                </c:pt>
                <c:pt idx="24">
                  <c:v>47</c:v>
                </c:pt>
                <c:pt idx="25">
                  <c:v>47</c:v>
                </c:pt>
                <c:pt idx="26">
                  <c:v>47</c:v>
                </c:pt>
                <c:pt idx="27">
                  <c:v>49</c:v>
                </c:pt>
                <c:pt idx="28">
                  <c:v>47</c:v>
                </c:pt>
                <c:pt idx="29">
                  <c:v>50</c:v>
                </c:pt>
                <c:pt idx="30">
                  <c:v>57</c:v>
                </c:pt>
                <c:pt idx="31">
                  <c:v>57</c:v>
                </c:pt>
                <c:pt idx="32">
                  <c:v>60</c:v>
                </c:pt>
                <c:pt idx="33">
                  <c:v>66</c:v>
                </c:pt>
                <c:pt idx="34">
                  <c:v>68</c:v>
                </c:pt>
                <c:pt idx="35">
                  <c:v>74</c:v>
                </c:pt>
                <c:pt idx="36">
                  <c:v>74</c:v>
                </c:pt>
                <c:pt idx="37">
                  <c:v>76</c:v>
                </c:pt>
                <c:pt idx="38">
                  <c:v>84</c:v>
                </c:pt>
                <c:pt idx="39">
                  <c:v>73</c:v>
                </c:pt>
                <c:pt idx="40">
                  <c:v>71</c:v>
                </c:pt>
                <c:pt idx="41">
                  <c:v>60</c:v>
                </c:pt>
                <c:pt idx="42">
                  <c:v>64</c:v>
                </c:pt>
                <c:pt idx="43">
                  <c:v>50</c:v>
                </c:pt>
                <c:pt idx="44">
                  <c:v>37</c:v>
                </c:pt>
                <c:pt idx="45">
                  <c:v>35</c:v>
                </c:pt>
                <c:pt idx="46">
                  <c:v>41</c:v>
                </c:pt>
                <c:pt idx="47">
                  <c:v>41</c:v>
                </c:pt>
                <c:pt idx="48">
                  <c:v>43</c:v>
                </c:pt>
                <c:pt idx="49">
                  <c:v>43</c:v>
                </c:pt>
                <c:pt idx="50">
                  <c:v>43</c:v>
                </c:pt>
                <c:pt idx="51">
                  <c:v>47</c:v>
                </c:pt>
                <c:pt idx="52">
                  <c:v>49</c:v>
                </c:pt>
                <c:pt idx="53">
                  <c:v>55</c:v>
                </c:pt>
                <c:pt idx="54">
                  <c:v>57</c:v>
                </c:pt>
                <c:pt idx="55">
                  <c:v>61</c:v>
                </c:pt>
                <c:pt idx="56">
                  <c:v>62</c:v>
                </c:pt>
                <c:pt idx="57">
                  <c:v>58</c:v>
                </c:pt>
                <c:pt idx="58">
                  <c:v>52</c:v>
                </c:pt>
                <c:pt idx="59">
                  <c:v>53</c:v>
                </c:pt>
                <c:pt idx="60">
                  <c:v>56</c:v>
                </c:pt>
                <c:pt idx="61">
                  <c:v>53</c:v>
                </c:pt>
                <c:pt idx="62">
                  <c:v>53</c:v>
                </c:pt>
                <c:pt idx="63">
                  <c:v>56</c:v>
                </c:pt>
                <c:pt idx="64">
                  <c:v>55</c:v>
                </c:pt>
                <c:pt idx="65">
                  <c:v>56</c:v>
                </c:pt>
                <c:pt idx="66">
                  <c:v>56</c:v>
                </c:pt>
                <c:pt idx="67">
                  <c:v>56</c:v>
                </c:pt>
                <c:pt idx="68">
                  <c:v>54</c:v>
                </c:pt>
                <c:pt idx="69">
                  <c:v>56</c:v>
                </c:pt>
                <c:pt idx="70">
                  <c:v>54</c:v>
                </c:pt>
                <c:pt idx="71">
                  <c:v>57</c:v>
                </c:pt>
                <c:pt idx="72">
                  <c:v>57</c:v>
                </c:pt>
                <c:pt idx="73">
                  <c:v>59</c:v>
                </c:pt>
                <c:pt idx="74">
                  <c:v>57</c:v>
                </c:pt>
                <c:pt idx="75">
                  <c:v>59</c:v>
                </c:pt>
                <c:pt idx="76">
                  <c:v>62</c:v>
                </c:pt>
                <c:pt idx="77">
                  <c:v>58</c:v>
                </c:pt>
                <c:pt idx="78">
                  <c:v>57</c:v>
                </c:pt>
                <c:pt idx="79">
                  <c:v>60</c:v>
                </c:pt>
                <c:pt idx="80">
                  <c:v>61</c:v>
                </c:pt>
                <c:pt idx="81">
                  <c:v>58</c:v>
                </c:pt>
                <c:pt idx="82">
                  <c:v>57</c:v>
                </c:pt>
                <c:pt idx="83">
                  <c:v>54</c:v>
                </c:pt>
                <c:pt idx="84">
                  <c:v>31</c:v>
                </c:pt>
                <c:pt idx="85">
                  <c:v>33</c:v>
                </c:pt>
                <c:pt idx="86">
                  <c:v>31</c:v>
                </c:pt>
                <c:pt idx="87">
                  <c:v>30</c:v>
                </c:pt>
                <c:pt idx="88">
                  <c:v>31</c:v>
                </c:pt>
                <c:pt idx="89">
                  <c:v>34</c:v>
                </c:pt>
                <c:pt idx="90">
                  <c:v>34</c:v>
                </c:pt>
                <c:pt idx="91">
                  <c:v>37</c:v>
                </c:pt>
                <c:pt idx="92">
                  <c:v>42</c:v>
                </c:pt>
                <c:pt idx="93">
                  <c:v>43</c:v>
                </c:pt>
              </c:numCache>
            </c:numRef>
          </c:val>
          <c:smooth val="0"/>
        </c:ser>
        <c:ser>
          <c:idx val="3"/>
          <c:order val="3"/>
          <c:tx>
            <c:strRef>
              <c:f>Metrics!$A$7</c:f>
              <c:strCache>
                <c:ptCount val="1"/>
                <c:pt idx="0">
                  <c:v>Failed ARA verifications (since last report)</c:v>
                </c:pt>
              </c:strCache>
            </c:strRef>
          </c:tx>
          <c:spPr>
            <a:ln>
              <a:solidFill>
                <a:srgbClr val="FF0000"/>
              </a:solidFill>
            </a:ln>
          </c:spPr>
          <c:marker>
            <c:spPr>
              <a:ln>
                <a:solidFill>
                  <a:srgbClr val="FF0000"/>
                </a:solidFill>
              </a:ln>
            </c:spPr>
          </c:marker>
          <c:cat>
            <c:numRef>
              <c:f>Metrics!$B$3:$CQ$3</c:f>
              <c:numCache>
                <c:formatCode>m/d/yyyy</c:formatCode>
                <c:ptCount val="94"/>
                <c:pt idx="0">
                  <c:v>40926</c:v>
                </c:pt>
                <c:pt idx="1">
                  <c:v>40948</c:v>
                </c:pt>
                <c:pt idx="2">
                  <c:v>41003</c:v>
                </c:pt>
                <c:pt idx="3">
                  <c:v>41036</c:v>
                </c:pt>
                <c:pt idx="4">
                  <c:v>41065</c:v>
                </c:pt>
                <c:pt idx="5">
                  <c:v>41102</c:v>
                </c:pt>
                <c:pt idx="6">
                  <c:v>41130</c:v>
                </c:pt>
                <c:pt idx="7">
                  <c:v>41298</c:v>
                </c:pt>
                <c:pt idx="8">
                  <c:v>41319</c:v>
                </c:pt>
                <c:pt idx="9">
                  <c:v>41324</c:v>
                </c:pt>
                <c:pt idx="10">
                  <c:v>41326</c:v>
                </c:pt>
                <c:pt idx="11">
                  <c:v>41331</c:v>
                </c:pt>
                <c:pt idx="12">
                  <c:v>41338</c:v>
                </c:pt>
                <c:pt idx="13">
                  <c:v>41340</c:v>
                </c:pt>
                <c:pt idx="14">
                  <c:v>41341</c:v>
                </c:pt>
                <c:pt idx="15">
                  <c:v>41345</c:v>
                </c:pt>
                <c:pt idx="16">
                  <c:v>41346</c:v>
                </c:pt>
                <c:pt idx="17">
                  <c:v>41351</c:v>
                </c:pt>
                <c:pt idx="18">
                  <c:v>41357</c:v>
                </c:pt>
                <c:pt idx="19">
                  <c:v>41362</c:v>
                </c:pt>
                <c:pt idx="20">
                  <c:v>41365</c:v>
                </c:pt>
                <c:pt idx="21">
                  <c:v>41368</c:v>
                </c:pt>
                <c:pt idx="22">
                  <c:v>41373</c:v>
                </c:pt>
                <c:pt idx="23">
                  <c:v>41379</c:v>
                </c:pt>
                <c:pt idx="24">
                  <c:v>41392</c:v>
                </c:pt>
                <c:pt idx="25">
                  <c:v>41392</c:v>
                </c:pt>
                <c:pt idx="26">
                  <c:v>41392</c:v>
                </c:pt>
                <c:pt idx="27">
                  <c:v>41400</c:v>
                </c:pt>
                <c:pt idx="28">
                  <c:v>41407</c:v>
                </c:pt>
                <c:pt idx="29">
                  <c:v>41414</c:v>
                </c:pt>
                <c:pt idx="30">
                  <c:v>41424</c:v>
                </c:pt>
                <c:pt idx="31">
                  <c:v>41431</c:v>
                </c:pt>
                <c:pt idx="32">
                  <c:v>41438</c:v>
                </c:pt>
                <c:pt idx="33">
                  <c:v>41445</c:v>
                </c:pt>
                <c:pt idx="34">
                  <c:v>41452</c:v>
                </c:pt>
                <c:pt idx="35">
                  <c:v>41466</c:v>
                </c:pt>
                <c:pt idx="36">
                  <c:v>41473</c:v>
                </c:pt>
                <c:pt idx="37">
                  <c:v>41480</c:v>
                </c:pt>
                <c:pt idx="38">
                  <c:v>41487</c:v>
                </c:pt>
                <c:pt idx="39">
                  <c:v>41494</c:v>
                </c:pt>
                <c:pt idx="40">
                  <c:v>41501</c:v>
                </c:pt>
                <c:pt idx="41">
                  <c:v>41508</c:v>
                </c:pt>
                <c:pt idx="42">
                  <c:v>41515</c:v>
                </c:pt>
                <c:pt idx="43">
                  <c:v>41522</c:v>
                </c:pt>
                <c:pt idx="44">
                  <c:v>41529</c:v>
                </c:pt>
                <c:pt idx="45">
                  <c:v>41536</c:v>
                </c:pt>
                <c:pt idx="46">
                  <c:v>41543</c:v>
                </c:pt>
                <c:pt idx="47">
                  <c:v>41550</c:v>
                </c:pt>
                <c:pt idx="48">
                  <c:v>41557</c:v>
                </c:pt>
                <c:pt idx="49">
                  <c:v>41564</c:v>
                </c:pt>
                <c:pt idx="50">
                  <c:v>41571</c:v>
                </c:pt>
                <c:pt idx="51">
                  <c:v>41578</c:v>
                </c:pt>
                <c:pt idx="52">
                  <c:v>41585</c:v>
                </c:pt>
                <c:pt idx="53">
                  <c:v>41592</c:v>
                </c:pt>
                <c:pt idx="54">
                  <c:v>41599</c:v>
                </c:pt>
                <c:pt idx="55">
                  <c:v>41605</c:v>
                </c:pt>
                <c:pt idx="56">
                  <c:v>41613</c:v>
                </c:pt>
                <c:pt idx="57">
                  <c:v>41620</c:v>
                </c:pt>
                <c:pt idx="58">
                  <c:v>41627</c:v>
                </c:pt>
                <c:pt idx="59">
                  <c:v>41638</c:v>
                </c:pt>
                <c:pt idx="60">
                  <c:v>41648</c:v>
                </c:pt>
                <c:pt idx="61">
                  <c:v>41655</c:v>
                </c:pt>
                <c:pt idx="62">
                  <c:v>41662</c:v>
                </c:pt>
                <c:pt idx="63">
                  <c:v>41669</c:v>
                </c:pt>
                <c:pt idx="64">
                  <c:v>41676</c:v>
                </c:pt>
                <c:pt idx="65">
                  <c:v>41683</c:v>
                </c:pt>
                <c:pt idx="66">
                  <c:v>41690</c:v>
                </c:pt>
                <c:pt idx="67">
                  <c:v>41697</c:v>
                </c:pt>
                <c:pt idx="68">
                  <c:v>41704</c:v>
                </c:pt>
                <c:pt idx="69">
                  <c:v>41711</c:v>
                </c:pt>
                <c:pt idx="70">
                  <c:v>41718</c:v>
                </c:pt>
                <c:pt idx="71">
                  <c:v>41725</c:v>
                </c:pt>
                <c:pt idx="72">
                  <c:v>41732</c:v>
                </c:pt>
                <c:pt idx="73">
                  <c:v>41739</c:v>
                </c:pt>
                <c:pt idx="74">
                  <c:v>41746</c:v>
                </c:pt>
                <c:pt idx="75">
                  <c:v>41753</c:v>
                </c:pt>
                <c:pt idx="76">
                  <c:v>41760</c:v>
                </c:pt>
                <c:pt idx="77">
                  <c:v>41767</c:v>
                </c:pt>
                <c:pt idx="78">
                  <c:v>41774</c:v>
                </c:pt>
                <c:pt idx="79">
                  <c:v>41781</c:v>
                </c:pt>
                <c:pt idx="80">
                  <c:v>41788</c:v>
                </c:pt>
                <c:pt idx="81">
                  <c:v>41795</c:v>
                </c:pt>
                <c:pt idx="82">
                  <c:v>41802</c:v>
                </c:pt>
                <c:pt idx="83">
                  <c:v>41809</c:v>
                </c:pt>
                <c:pt idx="84">
                  <c:v>41872</c:v>
                </c:pt>
                <c:pt idx="85">
                  <c:v>41893</c:v>
                </c:pt>
                <c:pt idx="86">
                  <c:v>41897</c:v>
                </c:pt>
                <c:pt idx="87">
                  <c:v>41904</c:v>
                </c:pt>
                <c:pt idx="88">
                  <c:v>41907</c:v>
                </c:pt>
                <c:pt idx="89">
                  <c:v>41910</c:v>
                </c:pt>
                <c:pt idx="90">
                  <c:v>41917</c:v>
                </c:pt>
                <c:pt idx="91">
                  <c:v>41924</c:v>
                </c:pt>
                <c:pt idx="92">
                  <c:v>41932</c:v>
                </c:pt>
                <c:pt idx="93">
                  <c:v>41939</c:v>
                </c:pt>
              </c:numCache>
            </c:numRef>
          </c:cat>
          <c:val>
            <c:numRef>
              <c:f>Metrics!$B$7:$CQ$7</c:f>
              <c:numCache>
                <c:formatCode>General</c:formatCode>
                <c:ptCount val="94"/>
                <c:pt idx="0">
                  <c:v>0</c:v>
                </c:pt>
                <c:pt idx="1">
                  <c:v>2</c:v>
                </c:pt>
                <c:pt idx="2">
                  <c:v>2</c:v>
                </c:pt>
                <c:pt idx="3">
                  <c:v>0</c:v>
                </c:pt>
                <c:pt idx="4">
                  <c:v>2</c:v>
                </c:pt>
                <c:pt idx="5">
                  <c:v>1</c:v>
                </c:pt>
                <c:pt idx="6">
                  <c:v>0</c:v>
                </c:pt>
                <c:pt idx="7">
                  <c:v>4</c:v>
                </c:pt>
                <c:pt idx="8">
                  <c:v>1</c:v>
                </c:pt>
                <c:pt idx="9">
                  <c:v>0</c:v>
                </c:pt>
                <c:pt idx="10">
                  <c:v>0</c:v>
                </c:pt>
                <c:pt idx="11">
                  <c:v>0</c:v>
                </c:pt>
                <c:pt idx="12">
                  <c:v>0</c:v>
                </c:pt>
                <c:pt idx="13">
                  <c:v>0</c:v>
                </c:pt>
                <c:pt idx="14">
                  <c:v>0</c:v>
                </c:pt>
                <c:pt idx="15">
                  <c:v>0</c:v>
                </c:pt>
                <c:pt idx="16">
                  <c:v>0</c:v>
                </c:pt>
                <c:pt idx="17">
                  <c:v>0</c:v>
                </c:pt>
                <c:pt idx="18">
                  <c:v>0</c:v>
                </c:pt>
                <c:pt idx="19">
                  <c:v>0</c:v>
                </c:pt>
                <c:pt idx="20">
                  <c:v>2</c:v>
                </c:pt>
                <c:pt idx="21">
                  <c:v>0</c:v>
                </c:pt>
                <c:pt idx="22">
                  <c:v>0</c:v>
                </c:pt>
                <c:pt idx="23">
                  <c:v>0</c:v>
                </c:pt>
                <c:pt idx="24">
                  <c:v>0</c:v>
                </c:pt>
                <c:pt idx="25">
                  <c:v>1</c:v>
                </c:pt>
                <c:pt idx="26">
                  <c:v>0</c:v>
                </c:pt>
                <c:pt idx="27">
                  <c:v>1</c:v>
                </c:pt>
                <c:pt idx="28">
                  <c:v>0</c:v>
                </c:pt>
                <c:pt idx="29">
                  <c:v>0</c:v>
                </c:pt>
                <c:pt idx="30">
                  <c:v>1</c:v>
                </c:pt>
                <c:pt idx="31">
                  <c:v>0</c:v>
                </c:pt>
                <c:pt idx="32">
                  <c:v>0</c:v>
                </c:pt>
                <c:pt idx="33">
                  <c:v>0</c:v>
                </c:pt>
                <c:pt idx="34">
                  <c:v>0</c:v>
                </c:pt>
                <c:pt idx="35">
                  <c:v>0</c:v>
                </c:pt>
                <c:pt idx="36">
                  <c:v>0</c:v>
                </c:pt>
                <c:pt idx="37">
                  <c:v>0</c:v>
                </c:pt>
                <c:pt idx="38">
                  <c:v>0</c:v>
                </c:pt>
                <c:pt idx="39">
                  <c:v>0</c:v>
                </c:pt>
                <c:pt idx="40">
                  <c:v>0</c:v>
                </c:pt>
                <c:pt idx="41">
                  <c:v>0</c:v>
                </c:pt>
                <c:pt idx="42">
                  <c:v>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numCache>
            </c:numRef>
          </c:val>
          <c:smooth val="0"/>
        </c:ser>
        <c:ser>
          <c:idx val="4"/>
          <c:order val="4"/>
          <c:tx>
            <c:strRef>
              <c:f>Metrics!$A$8</c:f>
              <c:strCache>
                <c:ptCount val="1"/>
                <c:pt idx="0">
                  <c:v>CNs completed  (since last report)</c:v>
                </c:pt>
              </c:strCache>
            </c:strRef>
          </c:tx>
          <c:spPr>
            <a:ln>
              <a:solidFill>
                <a:srgbClr val="00B050"/>
              </a:solidFill>
            </a:ln>
          </c:spPr>
          <c:marker>
            <c:spPr>
              <a:solidFill>
                <a:srgbClr val="00B050"/>
              </a:solidFill>
              <a:ln>
                <a:solidFill>
                  <a:srgbClr val="00B050"/>
                </a:solidFill>
              </a:ln>
            </c:spPr>
          </c:marker>
          <c:cat>
            <c:numRef>
              <c:f>Metrics!$B$3:$CQ$3</c:f>
              <c:numCache>
                <c:formatCode>m/d/yyyy</c:formatCode>
                <c:ptCount val="94"/>
                <c:pt idx="0">
                  <c:v>40926</c:v>
                </c:pt>
                <c:pt idx="1">
                  <c:v>40948</c:v>
                </c:pt>
                <c:pt idx="2">
                  <c:v>41003</c:v>
                </c:pt>
                <c:pt idx="3">
                  <c:v>41036</c:v>
                </c:pt>
                <c:pt idx="4">
                  <c:v>41065</c:v>
                </c:pt>
                <c:pt idx="5">
                  <c:v>41102</c:v>
                </c:pt>
                <c:pt idx="6">
                  <c:v>41130</c:v>
                </c:pt>
                <c:pt idx="7">
                  <c:v>41298</c:v>
                </c:pt>
                <c:pt idx="8">
                  <c:v>41319</c:v>
                </c:pt>
                <c:pt idx="9">
                  <c:v>41324</c:v>
                </c:pt>
                <c:pt idx="10">
                  <c:v>41326</c:v>
                </c:pt>
                <c:pt idx="11">
                  <c:v>41331</c:v>
                </c:pt>
                <c:pt idx="12">
                  <c:v>41338</c:v>
                </c:pt>
                <c:pt idx="13">
                  <c:v>41340</c:v>
                </c:pt>
                <c:pt idx="14">
                  <c:v>41341</c:v>
                </c:pt>
                <c:pt idx="15">
                  <c:v>41345</c:v>
                </c:pt>
                <c:pt idx="16">
                  <c:v>41346</c:v>
                </c:pt>
                <c:pt idx="17">
                  <c:v>41351</c:v>
                </c:pt>
                <c:pt idx="18">
                  <c:v>41357</c:v>
                </c:pt>
                <c:pt idx="19">
                  <c:v>41362</c:v>
                </c:pt>
                <c:pt idx="20">
                  <c:v>41365</c:v>
                </c:pt>
                <c:pt idx="21">
                  <c:v>41368</c:v>
                </c:pt>
                <c:pt idx="22">
                  <c:v>41373</c:v>
                </c:pt>
                <c:pt idx="23">
                  <c:v>41379</c:v>
                </c:pt>
                <c:pt idx="24">
                  <c:v>41392</c:v>
                </c:pt>
                <c:pt idx="25">
                  <c:v>41392</c:v>
                </c:pt>
                <c:pt idx="26">
                  <c:v>41392</c:v>
                </c:pt>
                <c:pt idx="27">
                  <c:v>41400</c:v>
                </c:pt>
                <c:pt idx="28">
                  <c:v>41407</c:v>
                </c:pt>
                <c:pt idx="29">
                  <c:v>41414</c:v>
                </c:pt>
                <c:pt idx="30">
                  <c:v>41424</c:v>
                </c:pt>
                <c:pt idx="31">
                  <c:v>41431</c:v>
                </c:pt>
                <c:pt idx="32">
                  <c:v>41438</c:v>
                </c:pt>
                <c:pt idx="33">
                  <c:v>41445</c:v>
                </c:pt>
                <c:pt idx="34">
                  <c:v>41452</c:v>
                </c:pt>
                <c:pt idx="35">
                  <c:v>41466</c:v>
                </c:pt>
                <c:pt idx="36">
                  <c:v>41473</c:v>
                </c:pt>
                <c:pt idx="37">
                  <c:v>41480</c:v>
                </c:pt>
                <c:pt idx="38">
                  <c:v>41487</c:v>
                </c:pt>
                <c:pt idx="39">
                  <c:v>41494</c:v>
                </c:pt>
                <c:pt idx="40">
                  <c:v>41501</c:v>
                </c:pt>
                <c:pt idx="41">
                  <c:v>41508</c:v>
                </c:pt>
                <c:pt idx="42">
                  <c:v>41515</c:v>
                </c:pt>
                <c:pt idx="43">
                  <c:v>41522</c:v>
                </c:pt>
                <c:pt idx="44">
                  <c:v>41529</c:v>
                </c:pt>
                <c:pt idx="45">
                  <c:v>41536</c:v>
                </c:pt>
                <c:pt idx="46">
                  <c:v>41543</c:v>
                </c:pt>
                <c:pt idx="47">
                  <c:v>41550</c:v>
                </c:pt>
                <c:pt idx="48">
                  <c:v>41557</c:v>
                </c:pt>
                <c:pt idx="49">
                  <c:v>41564</c:v>
                </c:pt>
                <c:pt idx="50">
                  <c:v>41571</c:v>
                </c:pt>
                <c:pt idx="51">
                  <c:v>41578</c:v>
                </c:pt>
                <c:pt idx="52">
                  <c:v>41585</c:v>
                </c:pt>
                <c:pt idx="53">
                  <c:v>41592</c:v>
                </c:pt>
                <c:pt idx="54">
                  <c:v>41599</c:v>
                </c:pt>
                <c:pt idx="55">
                  <c:v>41605</c:v>
                </c:pt>
                <c:pt idx="56">
                  <c:v>41613</c:v>
                </c:pt>
                <c:pt idx="57">
                  <c:v>41620</c:v>
                </c:pt>
                <c:pt idx="58">
                  <c:v>41627</c:v>
                </c:pt>
                <c:pt idx="59">
                  <c:v>41638</c:v>
                </c:pt>
                <c:pt idx="60">
                  <c:v>41648</c:v>
                </c:pt>
                <c:pt idx="61">
                  <c:v>41655</c:v>
                </c:pt>
                <c:pt idx="62">
                  <c:v>41662</c:v>
                </c:pt>
                <c:pt idx="63">
                  <c:v>41669</c:v>
                </c:pt>
                <c:pt idx="64">
                  <c:v>41676</c:v>
                </c:pt>
                <c:pt idx="65">
                  <c:v>41683</c:v>
                </c:pt>
                <c:pt idx="66">
                  <c:v>41690</c:v>
                </c:pt>
                <c:pt idx="67">
                  <c:v>41697</c:v>
                </c:pt>
                <c:pt idx="68">
                  <c:v>41704</c:v>
                </c:pt>
                <c:pt idx="69">
                  <c:v>41711</c:v>
                </c:pt>
                <c:pt idx="70">
                  <c:v>41718</c:v>
                </c:pt>
                <c:pt idx="71">
                  <c:v>41725</c:v>
                </c:pt>
                <c:pt idx="72">
                  <c:v>41732</c:v>
                </c:pt>
                <c:pt idx="73">
                  <c:v>41739</c:v>
                </c:pt>
                <c:pt idx="74">
                  <c:v>41746</c:v>
                </c:pt>
                <c:pt idx="75">
                  <c:v>41753</c:v>
                </c:pt>
                <c:pt idx="76">
                  <c:v>41760</c:v>
                </c:pt>
                <c:pt idx="77">
                  <c:v>41767</c:v>
                </c:pt>
                <c:pt idx="78">
                  <c:v>41774</c:v>
                </c:pt>
                <c:pt idx="79">
                  <c:v>41781</c:v>
                </c:pt>
                <c:pt idx="80">
                  <c:v>41788</c:v>
                </c:pt>
                <c:pt idx="81">
                  <c:v>41795</c:v>
                </c:pt>
                <c:pt idx="82">
                  <c:v>41802</c:v>
                </c:pt>
                <c:pt idx="83">
                  <c:v>41809</c:v>
                </c:pt>
                <c:pt idx="84">
                  <c:v>41872</c:v>
                </c:pt>
                <c:pt idx="85">
                  <c:v>41893</c:v>
                </c:pt>
                <c:pt idx="86">
                  <c:v>41897</c:v>
                </c:pt>
                <c:pt idx="87">
                  <c:v>41904</c:v>
                </c:pt>
                <c:pt idx="88">
                  <c:v>41907</c:v>
                </c:pt>
                <c:pt idx="89">
                  <c:v>41910</c:v>
                </c:pt>
                <c:pt idx="90">
                  <c:v>41917</c:v>
                </c:pt>
                <c:pt idx="91">
                  <c:v>41924</c:v>
                </c:pt>
                <c:pt idx="92">
                  <c:v>41932</c:v>
                </c:pt>
                <c:pt idx="93">
                  <c:v>41939</c:v>
                </c:pt>
              </c:numCache>
            </c:numRef>
          </c:cat>
          <c:val>
            <c:numRef>
              <c:f>Metrics!$B$8:$CQ$8</c:f>
              <c:numCache>
                <c:formatCode>General</c:formatCode>
                <c:ptCount val="94"/>
                <c:pt idx="0">
                  <c:v>0</c:v>
                </c:pt>
                <c:pt idx="1">
                  <c:v>0</c:v>
                </c:pt>
                <c:pt idx="2">
                  <c:v>11</c:v>
                </c:pt>
                <c:pt idx="3">
                  <c:v>4</c:v>
                </c:pt>
                <c:pt idx="4">
                  <c:v>16</c:v>
                </c:pt>
                <c:pt idx="5">
                  <c:v>3</c:v>
                </c:pt>
                <c:pt idx="6">
                  <c:v>0</c:v>
                </c:pt>
                <c:pt idx="7">
                  <c:v>26</c:v>
                </c:pt>
                <c:pt idx="8">
                  <c:v>1</c:v>
                </c:pt>
                <c:pt idx="9">
                  <c:v>0</c:v>
                </c:pt>
                <c:pt idx="10">
                  <c:v>0</c:v>
                </c:pt>
                <c:pt idx="11">
                  <c:v>3</c:v>
                </c:pt>
                <c:pt idx="12">
                  <c:v>3</c:v>
                </c:pt>
                <c:pt idx="13">
                  <c:v>0</c:v>
                </c:pt>
                <c:pt idx="14">
                  <c:v>0</c:v>
                </c:pt>
                <c:pt idx="15">
                  <c:v>0</c:v>
                </c:pt>
                <c:pt idx="16">
                  <c:v>0</c:v>
                </c:pt>
                <c:pt idx="17">
                  <c:v>0</c:v>
                </c:pt>
                <c:pt idx="18">
                  <c:v>0</c:v>
                </c:pt>
                <c:pt idx="19">
                  <c:v>12</c:v>
                </c:pt>
                <c:pt idx="20">
                  <c:v>6</c:v>
                </c:pt>
                <c:pt idx="21">
                  <c:v>2</c:v>
                </c:pt>
                <c:pt idx="22">
                  <c:v>0</c:v>
                </c:pt>
                <c:pt idx="23">
                  <c:v>0</c:v>
                </c:pt>
                <c:pt idx="24">
                  <c:v>10</c:v>
                </c:pt>
                <c:pt idx="25">
                  <c:v>4</c:v>
                </c:pt>
                <c:pt idx="26">
                  <c:v>1</c:v>
                </c:pt>
                <c:pt idx="27">
                  <c:v>0</c:v>
                </c:pt>
                <c:pt idx="28">
                  <c:v>5</c:v>
                </c:pt>
                <c:pt idx="29">
                  <c:v>1</c:v>
                </c:pt>
                <c:pt idx="30">
                  <c:v>5</c:v>
                </c:pt>
                <c:pt idx="31">
                  <c:v>0</c:v>
                </c:pt>
                <c:pt idx="32">
                  <c:v>2</c:v>
                </c:pt>
                <c:pt idx="33">
                  <c:v>1</c:v>
                </c:pt>
                <c:pt idx="34">
                  <c:v>0</c:v>
                </c:pt>
                <c:pt idx="35">
                  <c:v>5</c:v>
                </c:pt>
                <c:pt idx="36">
                  <c:v>0</c:v>
                </c:pt>
                <c:pt idx="37">
                  <c:v>0</c:v>
                </c:pt>
                <c:pt idx="38">
                  <c:v>10</c:v>
                </c:pt>
                <c:pt idx="39">
                  <c:v>0</c:v>
                </c:pt>
                <c:pt idx="40">
                  <c:v>1</c:v>
                </c:pt>
                <c:pt idx="41">
                  <c:v>6</c:v>
                </c:pt>
                <c:pt idx="42">
                  <c:v>2</c:v>
                </c:pt>
                <c:pt idx="43">
                  <c:v>7</c:v>
                </c:pt>
                <c:pt idx="44">
                  <c:v>1</c:v>
                </c:pt>
                <c:pt idx="45">
                  <c:v>2</c:v>
                </c:pt>
                <c:pt idx="46">
                  <c:v>14</c:v>
                </c:pt>
                <c:pt idx="47">
                  <c:v>2</c:v>
                </c:pt>
                <c:pt idx="48">
                  <c:v>4</c:v>
                </c:pt>
                <c:pt idx="49">
                  <c:v>4</c:v>
                </c:pt>
                <c:pt idx="50">
                  <c:v>2</c:v>
                </c:pt>
                <c:pt idx="51">
                  <c:v>3</c:v>
                </c:pt>
                <c:pt idx="52">
                  <c:v>5</c:v>
                </c:pt>
                <c:pt idx="53">
                  <c:v>0</c:v>
                </c:pt>
                <c:pt idx="54">
                  <c:v>2</c:v>
                </c:pt>
                <c:pt idx="55">
                  <c:v>0</c:v>
                </c:pt>
                <c:pt idx="56">
                  <c:v>3</c:v>
                </c:pt>
                <c:pt idx="57">
                  <c:v>1</c:v>
                </c:pt>
                <c:pt idx="58">
                  <c:v>7</c:v>
                </c:pt>
                <c:pt idx="59">
                  <c:v>6</c:v>
                </c:pt>
                <c:pt idx="60">
                  <c:v>0</c:v>
                </c:pt>
                <c:pt idx="61">
                  <c:v>2</c:v>
                </c:pt>
                <c:pt idx="62">
                  <c:v>4</c:v>
                </c:pt>
                <c:pt idx="63">
                  <c:v>0</c:v>
                </c:pt>
                <c:pt idx="64">
                  <c:v>10</c:v>
                </c:pt>
                <c:pt idx="65">
                  <c:v>1</c:v>
                </c:pt>
                <c:pt idx="66">
                  <c:v>6</c:v>
                </c:pt>
                <c:pt idx="67">
                  <c:v>1</c:v>
                </c:pt>
                <c:pt idx="68">
                  <c:v>0</c:v>
                </c:pt>
                <c:pt idx="69">
                  <c:v>4</c:v>
                </c:pt>
                <c:pt idx="70">
                  <c:v>7</c:v>
                </c:pt>
                <c:pt idx="71">
                  <c:v>4</c:v>
                </c:pt>
                <c:pt idx="72">
                  <c:v>0</c:v>
                </c:pt>
                <c:pt idx="73">
                  <c:v>0</c:v>
                </c:pt>
                <c:pt idx="74">
                  <c:v>0</c:v>
                </c:pt>
                <c:pt idx="75">
                  <c:v>4</c:v>
                </c:pt>
                <c:pt idx="76">
                  <c:v>4</c:v>
                </c:pt>
                <c:pt idx="77">
                  <c:v>5</c:v>
                </c:pt>
                <c:pt idx="78">
                  <c:v>3</c:v>
                </c:pt>
                <c:pt idx="79">
                  <c:v>12</c:v>
                </c:pt>
                <c:pt idx="80">
                  <c:v>0</c:v>
                </c:pt>
                <c:pt idx="81">
                  <c:v>0</c:v>
                </c:pt>
                <c:pt idx="82">
                  <c:v>0</c:v>
                </c:pt>
                <c:pt idx="83">
                  <c:v>0</c:v>
                </c:pt>
                <c:pt idx="84">
                  <c:v>0</c:v>
                </c:pt>
                <c:pt idx="85">
                  <c:v>0</c:v>
                </c:pt>
                <c:pt idx="86">
                  <c:v>16</c:v>
                </c:pt>
                <c:pt idx="87">
                  <c:v>0</c:v>
                </c:pt>
                <c:pt idx="88">
                  <c:v>0</c:v>
                </c:pt>
                <c:pt idx="89">
                  <c:v>0</c:v>
                </c:pt>
                <c:pt idx="90">
                  <c:v>5</c:v>
                </c:pt>
                <c:pt idx="91">
                  <c:v>2</c:v>
                </c:pt>
                <c:pt idx="92">
                  <c:v>12</c:v>
                </c:pt>
                <c:pt idx="93">
                  <c:v>6</c:v>
                </c:pt>
              </c:numCache>
            </c:numRef>
          </c:val>
          <c:smooth val="0"/>
        </c:ser>
        <c:ser>
          <c:idx val="5"/>
          <c:order val="5"/>
          <c:tx>
            <c:strRef>
              <c:f>Metrics!$A$9</c:f>
              <c:strCache>
                <c:ptCount val="1"/>
                <c:pt idx="0">
                  <c:v>CNs cancelled  (since last report)</c:v>
                </c:pt>
              </c:strCache>
            </c:strRef>
          </c:tx>
          <c:cat>
            <c:numRef>
              <c:f>Metrics!$B$3:$CQ$3</c:f>
              <c:numCache>
                <c:formatCode>m/d/yyyy</c:formatCode>
                <c:ptCount val="94"/>
                <c:pt idx="0">
                  <c:v>40926</c:v>
                </c:pt>
                <c:pt idx="1">
                  <c:v>40948</c:v>
                </c:pt>
                <c:pt idx="2">
                  <c:v>41003</c:v>
                </c:pt>
                <c:pt idx="3">
                  <c:v>41036</c:v>
                </c:pt>
                <c:pt idx="4">
                  <c:v>41065</c:v>
                </c:pt>
                <c:pt idx="5">
                  <c:v>41102</c:v>
                </c:pt>
                <c:pt idx="6">
                  <c:v>41130</c:v>
                </c:pt>
                <c:pt idx="7">
                  <c:v>41298</c:v>
                </c:pt>
                <c:pt idx="8">
                  <c:v>41319</c:v>
                </c:pt>
                <c:pt idx="9">
                  <c:v>41324</c:v>
                </c:pt>
                <c:pt idx="10">
                  <c:v>41326</c:v>
                </c:pt>
                <c:pt idx="11">
                  <c:v>41331</c:v>
                </c:pt>
                <c:pt idx="12">
                  <c:v>41338</c:v>
                </c:pt>
                <c:pt idx="13">
                  <c:v>41340</c:v>
                </c:pt>
                <c:pt idx="14">
                  <c:v>41341</c:v>
                </c:pt>
                <c:pt idx="15">
                  <c:v>41345</c:v>
                </c:pt>
                <c:pt idx="16">
                  <c:v>41346</c:v>
                </c:pt>
                <c:pt idx="17">
                  <c:v>41351</c:v>
                </c:pt>
                <c:pt idx="18">
                  <c:v>41357</c:v>
                </c:pt>
                <c:pt idx="19">
                  <c:v>41362</c:v>
                </c:pt>
                <c:pt idx="20">
                  <c:v>41365</c:v>
                </c:pt>
                <c:pt idx="21">
                  <c:v>41368</c:v>
                </c:pt>
                <c:pt idx="22">
                  <c:v>41373</c:v>
                </c:pt>
                <c:pt idx="23">
                  <c:v>41379</c:v>
                </c:pt>
                <c:pt idx="24">
                  <c:v>41392</c:v>
                </c:pt>
                <c:pt idx="25">
                  <c:v>41392</c:v>
                </c:pt>
                <c:pt idx="26">
                  <c:v>41392</c:v>
                </c:pt>
                <c:pt idx="27">
                  <c:v>41400</c:v>
                </c:pt>
                <c:pt idx="28">
                  <c:v>41407</c:v>
                </c:pt>
                <c:pt idx="29">
                  <c:v>41414</c:v>
                </c:pt>
                <c:pt idx="30">
                  <c:v>41424</c:v>
                </c:pt>
                <c:pt idx="31">
                  <c:v>41431</c:v>
                </c:pt>
                <c:pt idx="32">
                  <c:v>41438</c:v>
                </c:pt>
                <c:pt idx="33">
                  <c:v>41445</c:v>
                </c:pt>
                <c:pt idx="34">
                  <c:v>41452</c:v>
                </c:pt>
                <c:pt idx="35">
                  <c:v>41466</c:v>
                </c:pt>
                <c:pt idx="36">
                  <c:v>41473</c:v>
                </c:pt>
                <c:pt idx="37">
                  <c:v>41480</c:v>
                </c:pt>
                <c:pt idx="38">
                  <c:v>41487</c:v>
                </c:pt>
                <c:pt idx="39">
                  <c:v>41494</c:v>
                </c:pt>
                <c:pt idx="40">
                  <c:v>41501</c:v>
                </c:pt>
                <c:pt idx="41">
                  <c:v>41508</c:v>
                </c:pt>
                <c:pt idx="42">
                  <c:v>41515</c:v>
                </c:pt>
                <c:pt idx="43">
                  <c:v>41522</c:v>
                </c:pt>
                <c:pt idx="44">
                  <c:v>41529</c:v>
                </c:pt>
                <c:pt idx="45">
                  <c:v>41536</c:v>
                </c:pt>
                <c:pt idx="46">
                  <c:v>41543</c:v>
                </c:pt>
                <c:pt idx="47">
                  <c:v>41550</c:v>
                </c:pt>
                <c:pt idx="48">
                  <c:v>41557</c:v>
                </c:pt>
                <c:pt idx="49">
                  <c:v>41564</c:v>
                </c:pt>
                <c:pt idx="50">
                  <c:v>41571</c:v>
                </c:pt>
                <c:pt idx="51">
                  <c:v>41578</c:v>
                </c:pt>
                <c:pt idx="52">
                  <c:v>41585</c:v>
                </c:pt>
                <c:pt idx="53">
                  <c:v>41592</c:v>
                </c:pt>
                <c:pt idx="54">
                  <c:v>41599</c:v>
                </c:pt>
                <c:pt idx="55">
                  <c:v>41605</c:v>
                </c:pt>
                <c:pt idx="56">
                  <c:v>41613</c:v>
                </c:pt>
                <c:pt idx="57">
                  <c:v>41620</c:v>
                </c:pt>
                <c:pt idx="58">
                  <c:v>41627</c:v>
                </c:pt>
                <c:pt idx="59">
                  <c:v>41638</c:v>
                </c:pt>
                <c:pt idx="60">
                  <c:v>41648</c:v>
                </c:pt>
                <c:pt idx="61">
                  <c:v>41655</c:v>
                </c:pt>
                <c:pt idx="62">
                  <c:v>41662</c:v>
                </c:pt>
                <c:pt idx="63">
                  <c:v>41669</c:v>
                </c:pt>
                <c:pt idx="64">
                  <c:v>41676</c:v>
                </c:pt>
                <c:pt idx="65">
                  <c:v>41683</c:v>
                </c:pt>
                <c:pt idx="66">
                  <c:v>41690</c:v>
                </c:pt>
                <c:pt idx="67">
                  <c:v>41697</c:v>
                </c:pt>
                <c:pt idx="68">
                  <c:v>41704</c:v>
                </c:pt>
                <c:pt idx="69">
                  <c:v>41711</c:v>
                </c:pt>
                <c:pt idx="70">
                  <c:v>41718</c:v>
                </c:pt>
                <c:pt idx="71">
                  <c:v>41725</c:v>
                </c:pt>
                <c:pt idx="72">
                  <c:v>41732</c:v>
                </c:pt>
                <c:pt idx="73">
                  <c:v>41739</c:v>
                </c:pt>
                <c:pt idx="74">
                  <c:v>41746</c:v>
                </c:pt>
                <c:pt idx="75">
                  <c:v>41753</c:v>
                </c:pt>
                <c:pt idx="76">
                  <c:v>41760</c:v>
                </c:pt>
                <c:pt idx="77">
                  <c:v>41767</c:v>
                </c:pt>
                <c:pt idx="78">
                  <c:v>41774</c:v>
                </c:pt>
                <c:pt idx="79">
                  <c:v>41781</c:v>
                </c:pt>
                <c:pt idx="80">
                  <c:v>41788</c:v>
                </c:pt>
                <c:pt idx="81">
                  <c:v>41795</c:v>
                </c:pt>
                <c:pt idx="82">
                  <c:v>41802</c:v>
                </c:pt>
                <c:pt idx="83">
                  <c:v>41809</c:v>
                </c:pt>
                <c:pt idx="84">
                  <c:v>41872</c:v>
                </c:pt>
                <c:pt idx="85">
                  <c:v>41893</c:v>
                </c:pt>
                <c:pt idx="86">
                  <c:v>41897</c:v>
                </c:pt>
                <c:pt idx="87">
                  <c:v>41904</c:v>
                </c:pt>
                <c:pt idx="88">
                  <c:v>41907</c:v>
                </c:pt>
                <c:pt idx="89">
                  <c:v>41910</c:v>
                </c:pt>
                <c:pt idx="90">
                  <c:v>41917</c:v>
                </c:pt>
                <c:pt idx="91">
                  <c:v>41924</c:v>
                </c:pt>
                <c:pt idx="92">
                  <c:v>41932</c:v>
                </c:pt>
                <c:pt idx="93">
                  <c:v>41939</c:v>
                </c:pt>
              </c:numCache>
            </c:numRef>
          </c:cat>
          <c:val>
            <c:numRef>
              <c:f>Metrics!$B$9:$CQ$9</c:f>
              <c:numCache>
                <c:formatCode>General</c:formatCode>
                <c:ptCount val="94"/>
                <c:pt idx="0">
                  <c:v>0</c:v>
                </c:pt>
                <c:pt idx="1">
                  <c:v>0</c:v>
                </c:pt>
                <c:pt idx="2">
                  <c:v>0</c:v>
                </c:pt>
                <c:pt idx="3">
                  <c:v>16</c:v>
                </c:pt>
                <c:pt idx="4">
                  <c:v>1</c:v>
                </c:pt>
                <c:pt idx="5">
                  <c:v>1</c:v>
                </c:pt>
                <c:pt idx="6">
                  <c:v>0</c:v>
                </c:pt>
                <c:pt idx="7">
                  <c:v>1</c:v>
                </c:pt>
                <c:pt idx="8">
                  <c:v>0</c:v>
                </c:pt>
                <c:pt idx="9">
                  <c:v>0</c:v>
                </c:pt>
                <c:pt idx="10">
                  <c:v>0</c:v>
                </c:pt>
                <c:pt idx="11">
                  <c:v>0</c:v>
                </c:pt>
                <c:pt idx="12">
                  <c:v>0</c:v>
                </c:pt>
                <c:pt idx="13">
                  <c:v>0</c:v>
                </c:pt>
                <c:pt idx="14">
                  <c:v>1</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1</c:v>
                </c:pt>
                <c:pt idx="84">
                  <c:v>0</c:v>
                </c:pt>
                <c:pt idx="85">
                  <c:v>0</c:v>
                </c:pt>
                <c:pt idx="86">
                  <c:v>1</c:v>
                </c:pt>
                <c:pt idx="87">
                  <c:v>0</c:v>
                </c:pt>
                <c:pt idx="88">
                  <c:v>0</c:v>
                </c:pt>
                <c:pt idx="89">
                  <c:v>0</c:v>
                </c:pt>
                <c:pt idx="90">
                  <c:v>0</c:v>
                </c:pt>
                <c:pt idx="91">
                  <c:v>0</c:v>
                </c:pt>
                <c:pt idx="92">
                  <c:v>0</c:v>
                </c:pt>
                <c:pt idx="93">
                  <c:v>1</c:v>
                </c:pt>
              </c:numCache>
            </c:numRef>
          </c:val>
          <c:smooth val="0"/>
        </c:ser>
        <c:ser>
          <c:idx val="6"/>
          <c:order val="6"/>
          <c:tx>
            <c:strRef>
              <c:f>Metrics!$A$10</c:f>
              <c:strCache>
                <c:ptCount val="1"/>
                <c:pt idx="0">
                  <c:v>New CNs created (since last report)</c:v>
                </c:pt>
              </c:strCache>
            </c:strRef>
          </c:tx>
          <c:cat>
            <c:numRef>
              <c:f>Metrics!$B$3:$CQ$3</c:f>
              <c:numCache>
                <c:formatCode>m/d/yyyy</c:formatCode>
                <c:ptCount val="94"/>
                <c:pt idx="0">
                  <c:v>40926</c:v>
                </c:pt>
                <c:pt idx="1">
                  <c:v>40948</c:v>
                </c:pt>
                <c:pt idx="2">
                  <c:v>41003</c:v>
                </c:pt>
                <c:pt idx="3">
                  <c:v>41036</c:v>
                </c:pt>
                <c:pt idx="4">
                  <c:v>41065</c:v>
                </c:pt>
                <c:pt idx="5">
                  <c:v>41102</c:v>
                </c:pt>
                <c:pt idx="6">
                  <c:v>41130</c:v>
                </c:pt>
                <c:pt idx="7">
                  <c:v>41298</c:v>
                </c:pt>
                <c:pt idx="8">
                  <c:v>41319</c:v>
                </c:pt>
                <c:pt idx="9">
                  <c:v>41324</c:v>
                </c:pt>
                <c:pt idx="10">
                  <c:v>41326</c:v>
                </c:pt>
                <c:pt idx="11">
                  <c:v>41331</c:v>
                </c:pt>
                <c:pt idx="12">
                  <c:v>41338</c:v>
                </c:pt>
                <c:pt idx="13">
                  <c:v>41340</c:v>
                </c:pt>
                <c:pt idx="14">
                  <c:v>41341</c:v>
                </c:pt>
                <c:pt idx="15">
                  <c:v>41345</c:v>
                </c:pt>
                <c:pt idx="16">
                  <c:v>41346</c:v>
                </c:pt>
                <c:pt idx="17">
                  <c:v>41351</c:v>
                </c:pt>
                <c:pt idx="18">
                  <c:v>41357</c:v>
                </c:pt>
                <c:pt idx="19">
                  <c:v>41362</c:v>
                </c:pt>
                <c:pt idx="20">
                  <c:v>41365</c:v>
                </c:pt>
                <c:pt idx="21">
                  <c:v>41368</c:v>
                </c:pt>
                <c:pt idx="22">
                  <c:v>41373</c:v>
                </c:pt>
                <c:pt idx="23">
                  <c:v>41379</c:v>
                </c:pt>
                <c:pt idx="24">
                  <c:v>41392</c:v>
                </c:pt>
                <c:pt idx="25">
                  <c:v>41392</c:v>
                </c:pt>
                <c:pt idx="26">
                  <c:v>41392</c:v>
                </c:pt>
                <c:pt idx="27">
                  <c:v>41400</c:v>
                </c:pt>
                <c:pt idx="28">
                  <c:v>41407</c:v>
                </c:pt>
                <c:pt idx="29">
                  <c:v>41414</c:v>
                </c:pt>
                <c:pt idx="30">
                  <c:v>41424</c:v>
                </c:pt>
                <c:pt idx="31">
                  <c:v>41431</c:v>
                </c:pt>
                <c:pt idx="32">
                  <c:v>41438</c:v>
                </c:pt>
                <c:pt idx="33">
                  <c:v>41445</c:v>
                </c:pt>
                <c:pt idx="34">
                  <c:v>41452</c:v>
                </c:pt>
                <c:pt idx="35">
                  <c:v>41466</c:v>
                </c:pt>
                <c:pt idx="36">
                  <c:v>41473</c:v>
                </c:pt>
                <c:pt idx="37">
                  <c:v>41480</c:v>
                </c:pt>
                <c:pt idx="38">
                  <c:v>41487</c:v>
                </c:pt>
                <c:pt idx="39">
                  <c:v>41494</c:v>
                </c:pt>
                <c:pt idx="40">
                  <c:v>41501</c:v>
                </c:pt>
                <c:pt idx="41">
                  <c:v>41508</c:v>
                </c:pt>
                <c:pt idx="42">
                  <c:v>41515</c:v>
                </c:pt>
                <c:pt idx="43">
                  <c:v>41522</c:v>
                </c:pt>
                <c:pt idx="44">
                  <c:v>41529</c:v>
                </c:pt>
                <c:pt idx="45">
                  <c:v>41536</c:v>
                </c:pt>
                <c:pt idx="46">
                  <c:v>41543</c:v>
                </c:pt>
                <c:pt idx="47">
                  <c:v>41550</c:v>
                </c:pt>
                <c:pt idx="48">
                  <c:v>41557</c:v>
                </c:pt>
                <c:pt idx="49">
                  <c:v>41564</c:v>
                </c:pt>
                <c:pt idx="50">
                  <c:v>41571</c:v>
                </c:pt>
                <c:pt idx="51">
                  <c:v>41578</c:v>
                </c:pt>
                <c:pt idx="52">
                  <c:v>41585</c:v>
                </c:pt>
                <c:pt idx="53">
                  <c:v>41592</c:v>
                </c:pt>
                <c:pt idx="54">
                  <c:v>41599</c:v>
                </c:pt>
                <c:pt idx="55">
                  <c:v>41605</c:v>
                </c:pt>
                <c:pt idx="56">
                  <c:v>41613</c:v>
                </c:pt>
                <c:pt idx="57">
                  <c:v>41620</c:v>
                </c:pt>
                <c:pt idx="58">
                  <c:v>41627</c:v>
                </c:pt>
                <c:pt idx="59">
                  <c:v>41638</c:v>
                </c:pt>
                <c:pt idx="60">
                  <c:v>41648</c:v>
                </c:pt>
                <c:pt idx="61">
                  <c:v>41655</c:v>
                </c:pt>
                <c:pt idx="62">
                  <c:v>41662</c:v>
                </c:pt>
                <c:pt idx="63">
                  <c:v>41669</c:v>
                </c:pt>
                <c:pt idx="64">
                  <c:v>41676</c:v>
                </c:pt>
                <c:pt idx="65">
                  <c:v>41683</c:v>
                </c:pt>
                <c:pt idx="66">
                  <c:v>41690</c:v>
                </c:pt>
                <c:pt idx="67">
                  <c:v>41697</c:v>
                </c:pt>
                <c:pt idx="68">
                  <c:v>41704</c:v>
                </c:pt>
                <c:pt idx="69">
                  <c:v>41711</c:v>
                </c:pt>
                <c:pt idx="70">
                  <c:v>41718</c:v>
                </c:pt>
                <c:pt idx="71">
                  <c:v>41725</c:v>
                </c:pt>
                <c:pt idx="72">
                  <c:v>41732</c:v>
                </c:pt>
                <c:pt idx="73">
                  <c:v>41739</c:v>
                </c:pt>
                <c:pt idx="74">
                  <c:v>41746</c:v>
                </c:pt>
                <c:pt idx="75">
                  <c:v>41753</c:v>
                </c:pt>
                <c:pt idx="76">
                  <c:v>41760</c:v>
                </c:pt>
                <c:pt idx="77">
                  <c:v>41767</c:v>
                </c:pt>
                <c:pt idx="78">
                  <c:v>41774</c:v>
                </c:pt>
                <c:pt idx="79">
                  <c:v>41781</c:v>
                </c:pt>
                <c:pt idx="80">
                  <c:v>41788</c:v>
                </c:pt>
                <c:pt idx="81">
                  <c:v>41795</c:v>
                </c:pt>
                <c:pt idx="82">
                  <c:v>41802</c:v>
                </c:pt>
                <c:pt idx="83">
                  <c:v>41809</c:v>
                </c:pt>
                <c:pt idx="84">
                  <c:v>41872</c:v>
                </c:pt>
                <c:pt idx="85">
                  <c:v>41893</c:v>
                </c:pt>
                <c:pt idx="86">
                  <c:v>41897</c:v>
                </c:pt>
                <c:pt idx="87">
                  <c:v>41904</c:v>
                </c:pt>
                <c:pt idx="88">
                  <c:v>41907</c:v>
                </c:pt>
                <c:pt idx="89">
                  <c:v>41910</c:v>
                </c:pt>
                <c:pt idx="90">
                  <c:v>41917</c:v>
                </c:pt>
                <c:pt idx="91">
                  <c:v>41924</c:v>
                </c:pt>
                <c:pt idx="92">
                  <c:v>41932</c:v>
                </c:pt>
                <c:pt idx="93">
                  <c:v>41939</c:v>
                </c:pt>
              </c:numCache>
            </c:numRef>
          </c:cat>
          <c:val>
            <c:numRef>
              <c:f>Metrics!$B$10:$CQ$10</c:f>
              <c:numCache>
                <c:formatCode>General</c:formatCode>
                <c:ptCount val="94"/>
                <c:pt idx="0">
                  <c:v>0</c:v>
                </c:pt>
                <c:pt idx="1">
                  <c:v>0</c:v>
                </c:pt>
                <c:pt idx="2">
                  <c:v>11</c:v>
                </c:pt>
                <c:pt idx="3">
                  <c:v>4</c:v>
                </c:pt>
                <c:pt idx="4">
                  <c:v>13</c:v>
                </c:pt>
                <c:pt idx="5">
                  <c:v>11</c:v>
                </c:pt>
                <c:pt idx="6">
                  <c:v>6</c:v>
                </c:pt>
                <c:pt idx="7">
                  <c:v>49</c:v>
                </c:pt>
                <c:pt idx="8">
                  <c:v>0</c:v>
                </c:pt>
                <c:pt idx="9">
                  <c:v>0</c:v>
                </c:pt>
                <c:pt idx="10">
                  <c:v>0</c:v>
                </c:pt>
                <c:pt idx="11">
                  <c:v>0</c:v>
                </c:pt>
                <c:pt idx="12">
                  <c:v>0</c:v>
                </c:pt>
                <c:pt idx="13">
                  <c:v>0</c:v>
                </c:pt>
                <c:pt idx="14">
                  <c:v>0</c:v>
                </c:pt>
                <c:pt idx="15">
                  <c:v>0</c:v>
                </c:pt>
                <c:pt idx="16">
                  <c:v>1</c:v>
                </c:pt>
                <c:pt idx="17">
                  <c:v>0</c:v>
                </c:pt>
                <c:pt idx="18">
                  <c:v>3</c:v>
                </c:pt>
                <c:pt idx="19">
                  <c:v>4</c:v>
                </c:pt>
                <c:pt idx="20">
                  <c:v>0</c:v>
                </c:pt>
                <c:pt idx="21">
                  <c:v>7</c:v>
                </c:pt>
                <c:pt idx="22">
                  <c:v>3</c:v>
                </c:pt>
                <c:pt idx="23">
                  <c:v>5</c:v>
                </c:pt>
                <c:pt idx="24">
                  <c:v>5</c:v>
                </c:pt>
                <c:pt idx="25">
                  <c:v>0</c:v>
                </c:pt>
                <c:pt idx="26">
                  <c:v>0</c:v>
                </c:pt>
                <c:pt idx="27">
                  <c:v>5</c:v>
                </c:pt>
                <c:pt idx="28">
                  <c:v>6</c:v>
                </c:pt>
                <c:pt idx="29">
                  <c:v>7</c:v>
                </c:pt>
                <c:pt idx="30">
                  <c:v>8</c:v>
                </c:pt>
                <c:pt idx="31">
                  <c:v>6</c:v>
                </c:pt>
                <c:pt idx="32">
                  <c:v>4</c:v>
                </c:pt>
                <c:pt idx="33">
                  <c:v>8</c:v>
                </c:pt>
                <c:pt idx="34">
                  <c:v>3</c:v>
                </c:pt>
                <c:pt idx="35">
                  <c:v>8</c:v>
                </c:pt>
                <c:pt idx="36">
                  <c:v>7</c:v>
                </c:pt>
                <c:pt idx="37">
                  <c:v>8</c:v>
                </c:pt>
                <c:pt idx="38">
                  <c:v>13</c:v>
                </c:pt>
                <c:pt idx="39">
                  <c:v>0</c:v>
                </c:pt>
                <c:pt idx="40">
                  <c:v>0</c:v>
                </c:pt>
                <c:pt idx="41">
                  <c:v>1</c:v>
                </c:pt>
                <c:pt idx="42">
                  <c:v>6</c:v>
                </c:pt>
                <c:pt idx="43">
                  <c:v>2</c:v>
                </c:pt>
                <c:pt idx="44">
                  <c:v>3</c:v>
                </c:pt>
                <c:pt idx="45">
                  <c:v>4</c:v>
                </c:pt>
                <c:pt idx="46">
                  <c:v>5</c:v>
                </c:pt>
                <c:pt idx="47">
                  <c:v>2</c:v>
                </c:pt>
                <c:pt idx="48">
                  <c:v>4</c:v>
                </c:pt>
                <c:pt idx="49">
                  <c:v>0</c:v>
                </c:pt>
                <c:pt idx="50">
                  <c:v>5</c:v>
                </c:pt>
                <c:pt idx="51">
                  <c:v>5</c:v>
                </c:pt>
                <c:pt idx="52">
                  <c:v>3</c:v>
                </c:pt>
                <c:pt idx="53">
                  <c:v>9</c:v>
                </c:pt>
                <c:pt idx="54">
                  <c:v>6</c:v>
                </c:pt>
                <c:pt idx="55">
                  <c:v>6</c:v>
                </c:pt>
                <c:pt idx="56">
                  <c:v>6</c:v>
                </c:pt>
                <c:pt idx="57">
                  <c:v>5</c:v>
                </c:pt>
                <c:pt idx="58">
                  <c:v>1</c:v>
                </c:pt>
                <c:pt idx="59">
                  <c:v>5</c:v>
                </c:pt>
                <c:pt idx="60">
                  <c:v>0</c:v>
                </c:pt>
                <c:pt idx="61">
                  <c:v>2</c:v>
                </c:pt>
                <c:pt idx="62">
                  <c:v>2</c:v>
                </c:pt>
                <c:pt idx="63">
                  <c:v>6</c:v>
                </c:pt>
                <c:pt idx="64">
                  <c:v>3</c:v>
                </c:pt>
                <c:pt idx="65">
                  <c:v>4</c:v>
                </c:pt>
                <c:pt idx="66">
                  <c:v>3</c:v>
                </c:pt>
                <c:pt idx="67">
                  <c:v>2</c:v>
                </c:pt>
                <c:pt idx="68">
                  <c:v>3</c:v>
                </c:pt>
                <c:pt idx="69">
                  <c:v>7</c:v>
                </c:pt>
                <c:pt idx="70">
                  <c:v>4</c:v>
                </c:pt>
                <c:pt idx="71">
                  <c:v>5</c:v>
                </c:pt>
                <c:pt idx="72">
                  <c:v>4</c:v>
                </c:pt>
                <c:pt idx="73">
                  <c:v>5</c:v>
                </c:pt>
                <c:pt idx="74">
                  <c:v>4</c:v>
                </c:pt>
                <c:pt idx="75">
                  <c:v>2</c:v>
                </c:pt>
                <c:pt idx="76">
                  <c:v>3</c:v>
                </c:pt>
                <c:pt idx="77">
                  <c:v>2</c:v>
                </c:pt>
                <c:pt idx="78">
                  <c:v>1</c:v>
                </c:pt>
                <c:pt idx="79">
                  <c:v>4</c:v>
                </c:pt>
                <c:pt idx="80">
                  <c:v>2</c:v>
                </c:pt>
                <c:pt idx="81">
                  <c:v>5</c:v>
                </c:pt>
                <c:pt idx="82">
                  <c:v>2</c:v>
                </c:pt>
                <c:pt idx="83">
                  <c:v>1</c:v>
                </c:pt>
                <c:pt idx="84">
                  <c:v>17</c:v>
                </c:pt>
                <c:pt idx="85">
                  <c:v>17</c:v>
                </c:pt>
                <c:pt idx="86">
                  <c:v>0</c:v>
                </c:pt>
                <c:pt idx="87">
                  <c:v>1</c:v>
                </c:pt>
                <c:pt idx="88">
                  <c:v>1</c:v>
                </c:pt>
                <c:pt idx="89">
                  <c:v>3</c:v>
                </c:pt>
                <c:pt idx="90">
                  <c:v>2</c:v>
                </c:pt>
                <c:pt idx="91">
                  <c:v>1</c:v>
                </c:pt>
                <c:pt idx="92">
                  <c:v>3</c:v>
                </c:pt>
                <c:pt idx="93">
                  <c:v>3</c:v>
                </c:pt>
              </c:numCache>
            </c:numRef>
          </c:val>
          <c:smooth val="0"/>
        </c:ser>
        <c:dLbls>
          <c:showLegendKey val="0"/>
          <c:showVal val="0"/>
          <c:showCatName val="0"/>
          <c:showSerName val="0"/>
          <c:showPercent val="0"/>
          <c:showBubbleSize val="0"/>
        </c:dLbls>
        <c:marker val="1"/>
        <c:smooth val="0"/>
        <c:axId val="117173248"/>
        <c:axId val="118100736"/>
      </c:lineChart>
      <c:catAx>
        <c:axId val="117173248"/>
        <c:scaling>
          <c:orientation val="minMax"/>
        </c:scaling>
        <c:delete val="0"/>
        <c:axPos val="b"/>
        <c:numFmt formatCode="m/d/yyyy" sourceLinked="1"/>
        <c:majorTickMark val="none"/>
        <c:minorTickMark val="none"/>
        <c:tickLblPos val="nextTo"/>
        <c:txPr>
          <a:bodyPr rot="-5400000" vert="horz"/>
          <a:lstStyle/>
          <a:p>
            <a:pPr>
              <a:defRPr/>
            </a:pPr>
            <a:endParaRPr lang="en-US"/>
          </a:p>
        </c:txPr>
        <c:crossAx val="118100736"/>
        <c:crosses val="autoZero"/>
        <c:auto val="0"/>
        <c:lblAlgn val="ctr"/>
        <c:lblOffset val="100"/>
        <c:tickLblSkip val="1"/>
        <c:tickMarkSkip val="1"/>
        <c:noMultiLvlLbl val="0"/>
      </c:catAx>
      <c:valAx>
        <c:axId val="118100736"/>
        <c:scaling>
          <c:orientation val="minMax"/>
        </c:scaling>
        <c:delete val="0"/>
        <c:axPos val="l"/>
        <c:majorGridlines/>
        <c:title>
          <c:tx>
            <c:rich>
              <a:bodyPr/>
              <a:lstStyle/>
              <a:p>
                <a:pPr>
                  <a:defRPr/>
                </a:pPr>
                <a:r>
                  <a:rPr lang="en-US"/>
                  <a:t>Number</a:t>
                </a:r>
              </a:p>
            </c:rich>
          </c:tx>
          <c:overlay val="0"/>
        </c:title>
        <c:numFmt formatCode="General" sourceLinked="1"/>
        <c:majorTickMark val="none"/>
        <c:minorTickMark val="none"/>
        <c:tickLblPos val="nextTo"/>
        <c:crossAx val="117173248"/>
        <c:crosses val="autoZero"/>
        <c:crossBetween val="between"/>
        <c:majorUnit val="10"/>
        <c:minorUnit val="1"/>
      </c:valAx>
    </c:plotArea>
    <c:legend>
      <c:legendPos val="r"/>
      <c:overlay val="0"/>
    </c:legend>
    <c:plotVisOnly val="1"/>
    <c:dispBlanksAs val="gap"/>
    <c:showDLblsOverMax val="0"/>
  </c:chart>
  <c:printSettings>
    <c:headerFooter/>
    <c:pageMargins b="0.75000000000000344" l="0.70000000000000062" r="0.70000000000000062" t="0.75000000000000344" header="0.30000000000000032" footer="0.30000000000000032"/>
    <c:pageSetup paperSize="17"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75</xdr:col>
      <xdr:colOff>619126</xdr:colOff>
      <xdr:row>10</xdr:row>
      <xdr:rowOff>131668</xdr:rowOff>
    </xdr:from>
    <xdr:to>
      <xdr:col>96</xdr:col>
      <xdr:colOff>636635</xdr:colOff>
      <xdr:row>76</xdr:row>
      <xdr:rowOff>35017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misagweb01.sag.gmeds.com/eRoomReq/Files/erooms4/ECN/0_2a7c3/Closed%20&amp;%20Cancelled%20ECNs%202004%20-%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misagweb01.sag.gmeds.com/eRoomReq/Files/erooms4/ECN/0_2a7c3/10700000322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misagweb01.sag.gmeds.com/eRoomReq/Files/erooms4/ECN/0_2a7c3/10700000328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osed"/>
      <sheetName val="Cancelled"/>
    </sheetNames>
    <sheetDataSet>
      <sheetData sheetId="0">
        <row r="701">
          <cell r="H701">
            <v>38898</v>
          </cell>
        </row>
      </sheetData>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N 1 - Implementation Plan"/>
      <sheetName val="CN 2 - Documents Affected"/>
      <sheetName val="CN 3 - Manuf. Ops checklist"/>
      <sheetName val="Plant_7"/>
    </sheetNames>
    <sheetDataSet>
      <sheetData sheetId="0" refreshError="1">
        <row r="1">
          <cell r="J1">
            <v>107000003226</v>
          </cell>
        </row>
      </sheetData>
      <sheetData sheetId="1" refreshError="1"/>
      <sheetData sheetId="2" refreshError="1"/>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N 1 - Implementation Plan"/>
      <sheetName val="CN 2 - Documents Affected"/>
      <sheetName val="CN 3 - Manuf. Ops checklist"/>
    </sheetNames>
    <sheetDataSet>
      <sheetData sheetId="0" refreshError="1">
        <row r="20">
          <cell r="M20" t="str">
            <v>060542</v>
          </cell>
        </row>
      </sheetData>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Documents%20and%20Settings/vzl77v/Desktop/GES%20Downloads/IMP33019177.xls" TargetMode="External"/><Relationship Id="rId117" Type="http://schemas.openxmlformats.org/officeDocument/2006/relationships/hyperlink" Target="../../../../../../../../Documents%20and%20Settings/vzl77v/Desktop/PLM%20Junk/Product/PCN_checklist_P400117.xls" TargetMode="External"/><Relationship Id="rId21" Type="http://schemas.openxmlformats.org/officeDocument/2006/relationships/hyperlink" Target="../../../../../../../../Documents%20and%20Settings/vzl77v/Desktop/GES%20Downloads/IMP33019095.xls" TargetMode="External"/><Relationship Id="rId42" Type="http://schemas.openxmlformats.org/officeDocument/2006/relationships/hyperlink" Target="../../../../../../../../Documents%20and%20Settings/vzl77v/Desktop/GES%20Downloads/IMP33021337.xls" TargetMode="External"/><Relationship Id="rId47" Type="http://schemas.openxmlformats.org/officeDocument/2006/relationships/hyperlink" Target="../../../../../../../../Documents%20and%20Settings/vzl77v/Desktop/GES%20Downloads/IMP33021685.xls" TargetMode="External"/><Relationship Id="rId63" Type="http://schemas.openxmlformats.org/officeDocument/2006/relationships/hyperlink" Target="../../../../../../../../Documents%20and%20Settings/vzl77v/Desktop/GES%20Downloads/IMP33023096.xls" TargetMode="External"/><Relationship Id="rId68" Type="http://schemas.openxmlformats.org/officeDocument/2006/relationships/hyperlink" Target="../../../../../../../../Documents%20and%20Settings/vzl77v/Desktop/GES%20Downloads/IMP33023487.xls" TargetMode="External"/><Relationship Id="rId84" Type="http://schemas.openxmlformats.org/officeDocument/2006/relationships/hyperlink" Target="../../../../../../../../Documents%20and%20Settings/vzl77v/Desktop/GES%20Downloads/IMP33024775.xls" TargetMode="External"/><Relationship Id="rId89" Type="http://schemas.openxmlformats.org/officeDocument/2006/relationships/hyperlink" Target="../../../../../../../../Documents%20and%20Settings/vzl77v/Desktop/GES%20Downloads/IMP33025026.xls" TargetMode="External"/><Relationship Id="rId112" Type="http://schemas.openxmlformats.org/officeDocument/2006/relationships/hyperlink" Target="../../../../../../../../Documents%20and%20Settings/vzl77v/Desktop/PLM%20Junk/Product/PCN_checklist_P400028.xls" TargetMode="External"/><Relationship Id="rId133" Type="http://schemas.openxmlformats.org/officeDocument/2006/relationships/hyperlink" Target="../../../../../../../../Documents%20and%20Settings/vzl77v/Desktop/PLM%20Junk/Product/PCN_checklist_P400367.xls" TargetMode="External"/><Relationship Id="rId138" Type="http://schemas.openxmlformats.org/officeDocument/2006/relationships/hyperlink" Target="../../../../../../../../Documents%20and%20Settings/vzl77v/Desktop/PLM%20Junk/Product/PCN_checklist_P400413.xls" TargetMode="External"/><Relationship Id="rId16" Type="http://schemas.openxmlformats.org/officeDocument/2006/relationships/hyperlink" Target="../../../../../../../../Documents%20and%20Settings/vzl77v/Desktop/GES%20Downloads/IMP33017628.xls" TargetMode="External"/><Relationship Id="rId107" Type="http://schemas.openxmlformats.org/officeDocument/2006/relationships/hyperlink" Target="../../../../../../../../Documents%20and%20Settings/vzl77v/Desktop/PLM%20Junk/PCN_checklist_P400143.xls" TargetMode="External"/><Relationship Id="rId11"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3184.xls" TargetMode="External"/><Relationship Id="rId32" Type="http://schemas.openxmlformats.org/officeDocument/2006/relationships/hyperlink" Target="../../../../../../../../Documents%20and%20Settings/vzl77v/Desktop/GES%20Downloads/IMP33020229.xls" TargetMode="External"/><Relationship Id="rId37" Type="http://schemas.openxmlformats.org/officeDocument/2006/relationships/hyperlink" Target="../../../../../../../../Documents%20and%20Settings/vzl77v/Desktop/GES%20Downloads/IMP33020594.xls" TargetMode="External"/><Relationship Id="rId53" Type="http://schemas.openxmlformats.org/officeDocument/2006/relationships/hyperlink" Target="../../../../../../../../Documents%20and%20Settings/vzl77v/Desktop/GES%20Downloads/IMP33022268.xls" TargetMode="External"/><Relationship Id="rId58" Type="http://schemas.openxmlformats.org/officeDocument/2006/relationships/hyperlink" Target="../../../../../../../../Documents%20and%20Settings/vzl77v/Desktop/GES%20Downloads/IMP33022664.xls" TargetMode="External"/><Relationship Id="rId74" Type="http://schemas.openxmlformats.org/officeDocument/2006/relationships/hyperlink" Target="../../../../../../../../Documents%20and%20Settings/vzl77v/Desktop/GES%20Downloads/IMP33024266.xls" TargetMode="External"/><Relationship Id="rId79" Type="http://schemas.openxmlformats.org/officeDocument/2006/relationships/hyperlink" Target="../../../../../../../../Documents%20and%20Settings/vzl77v/Desktop/GES%20Downloads/IMP33024449.xls" TargetMode="External"/><Relationship Id="rId102" Type="http://schemas.openxmlformats.org/officeDocument/2006/relationships/hyperlink" Target="../../../../../../../../Documents%20and%20Settings/vzl77v/Desktop/GES%20Downloads/IMP33025841.xls" TargetMode="External"/><Relationship Id="rId123" Type="http://schemas.openxmlformats.org/officeDocument/2006/relationships/hyperlink" Target="../../../../../../../../Documents%20and%20Settings/vzl77v/Desktop/PLM%20Junk/Product/PCN_checklist_P400203.xls" TargetMode="External"/><Relationship Id="rId128" Type="http://schemas.openxmlformats.org/officeDocument/2006/relationships/hyperlink" Target="../../../../../../../../Documents%20and%20Settings/vzl77v/Desktop/PLM%20Junk/Product/PCN_checklist_P400249.xls" TargetMode="External"/><Relationship Id="rId5" Type="http://schemas.openxmlformats.org/officeDocument/2006/relationships/printerSettings" Target="../printerSettings/printerSettings5.bin"/><Relationship Id="rId90" Type="http://schemas.openxmlformats.org/officeDocument/2006/relationships/hyperlink" Target="../../../../../../../../Documents%20and%20Settings/vzl77v/Desktop/GES%20Downloads/IMP33025079.xls" TargetMode="External"/><Relationship Id="rId95" Type="http://schemas.openxmlformats.org/officeDocument/2006/relationships/hyperlink" Target="../../../../../../../../Documents%20and%20Settings/vzl77v/Desktop/GES%20Downloads/IMP33025525.xls" TargetMode="External"/><Relationship Id="rId22" Type="http://schemas.openxmlformats.org/officeDocument/2006/relationships/hyperlink" Target="../../../../../../../../Documents%20and%20Settings/vzl77v/Desktop/GES%20Downloads/IMP33019130.xls" TargetMode="External"/><Relationship Id="rId27" Type="http://schemas.openxmlformats.org/officeDocument/2006/relationships/hyperlink" Target="../../../../../../../../Documents%20and%20Settings/vzl77v/Desktop/GES%20Downloads/IMP33019510.xls" TargetMode="External"/><Relationship Id="rId43" Type="http://schemas.openxmlformats.org/officeDocument/2006/relationships/hyperlink" Target="../../../../../../../../Documents%20and%20Settings/vzl77v/Desktop/GES%20Downloads/IMP33021338.xls" TargetMode="External"/><Relationship Id="rId48" Type="http://schemas.openxmlformats.org/officeDocument/2006/relationships/hyperlink" Target="../../../../../../../../Documents%20and%20Settings/vzl77v/Desktop/GES%20Downloads/IMP33021736.xls" TargetMode="External"/><Relationship Id="rId64" Type="http://schemas.openxmlformats.org/officeDocument/2006/relationships/hyperlink" Target="../../../../../../../../Documents%20and%20Settings/vzl77v/Desktop/GES%20Downloads/IMP33023120.xls" TargetMode="External"/><Relationship Id="rId69" Type="http://schemas.openxmlformats.org/officeDocument/2006/relationships/hyperlink" Target="../../../../../../../../Documents%20and%20Settings/vzl77v/Desktop/GES%20Downloads/IMP33023672.xls" TargetMode="External"/><Relationship Id="rId113" Type="http://schemas.openxmlformats.org/officeDocument/2006/relationships/hyperlink" Target="../../../../../../../../Documents%20and%20Settings/vzl77v/Desktop/PLM%20Junk/Product/PCN_checklist_P400093.xls" TargetMode="External"/><Relationship Id="rId118" Type="http://schemas.openxmlformats.org/officeDocument/2006/relationships/hyperlink" Target="../../../../../../../../Documents%20and%20Settings/vzl77v/Desktop/PLM%20Junk/Product/PCN_checklist_P400118.xls" TargetMode="External"/><Relationship Id="rId134" Type="http://schemas.openxmlformats.org/officeDocument/2006/relationships/hyperlink" Target="../../../../../../../../Documents%20and%20Settings/vzl77v/Desktop/PLM%20Junk/Product/PCN_checklist_P400370.xls" TargetMode="External"/><Relationship Id="rId139" Type="http://schemas.openxmlformats.org/officeDocument/2006/relationships/hyperlink" Target="../../../../../../../../Documents%20and%20Settings/vzl77v/Desktop/PLM%20Junk/Product/PCN_checklist_P400434.xls" TargetMode="External"/><Relationship Id="rId8"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814.xls" TargetMode="External"/><Relationship Id="rId51" Type="http://schemas.openxmlformats.org/officeDocument/2006/relationships/hyperlink" Target="../../../../../../../../Documents%20and%20Settings/vzl77v/Desktop/GES%20Downloads/IMP33021877.xls" TargetMode="External"/><Relationship Id="rId72" Type="http://schemas.openxmlformats.org/officeDocument/2006/relationships/hyperlink" Target="../../../../../../../../Documents%20and%20Settings/vzl77v/Desktop/GES%20Downloads/IMP33024154.xls" TargetMode="External"/><Relationship Id="rId80" Type="http://schemas.openxmlformats.org/officeDocument/2006/relationships/hyperlink" Target="../../../../../../../../Documents%20and%20Settings/vzl77v/Desktop/GES%20Downloads/IMP33024644.xls" TargetMode="External"/><Relationship Id="rId85" Type="http://schemas.openxmlformats.org/officeDocument/2006/relationships/hyperlink" Target="../../../../../../../../Documents%20and%20Settings/vzl77v/Desktop/GES%20Downloads/IMP33024856.xls" TargetMode="External"/><Relationship Id="rId93" Type="http://schemas.openxmlformats.org/officeDocument/2006/relationships/hyperlink" Target="../../../../../../../../Documents%20and%20Settings/vzl77v/Desktop/GES%20Downloads/IMP33025183.xls" TargetMode="External"/><Relationship Id="rId98" Type="http://schemas.openxmlformats.org/officeDocument/2006/relationships/hyperlink" Target="../../../../../../../../Documents%20and%20Settings/vzl77v/Desktop/GES%20Downloads/IMP33025603.xls" TargetMode="External"/><Relationship Id="rId121" Type="http://schemas.openxmlformats.org/officeDocument/2006/relationships/hyperlink" Target="../../../../../../../../Documents%20and%20Settings/vzl77v/Desktop/PLM%20Junk/Product/PCN_checklist_P400146.xls" TargetMode="External"/><Relationship Id="rId142" Type="http://schemas.openxmlformats.org/officeDocument/2006/relationships/vmlDrawing" Target="../drawings/vmlDrawing1.vml"/><Relationship Id="rId3" Type="http://schemas.openxmlformats.org/officeDocument/2006/relationships/printerSettings" Target="../printerSettings/printerSettings3.bin"/><Relationship Id="rId12"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546.xls" TargetMode="External"/><Relationship Id="rId17" Type="http://schemas.openxmlformats.org/officeDocument/2006/relationships/hyperlink" Target="../../../../../../../../Documents%20and%20Settings/vzl77v/Desktop/GES%20Downloads/IMP33018270.xls" TargetMode="External"/><Relationship Id="rId25" Type="http://schemas.openxmlformats.org/officeDocument/2006/relationships/hyperlink" Target="../../../../../../../../Documents%20and%20Settings/vzl77v/Desktop/GES%20Downloads/IMP33019174.xls" TargetMode="External"/><Relationship Id="rId33" Type="http://schemas.openxmlformats.org/officeDocument/2006/relationships/hyperlink" Target="../../../../../../../../Documents%20and%20Settings/vzl77v/Desktop/GES%20Downloads/IMP33020231.xls" TargetMode="External"/><Relationship Id="rId38" Type="http://schemas.openxmlformats.org/officeDocument/2006/relationships/hyperlink" Target="../../../../../../../../Documents%20and%20Settings/vzl77v/Desktop/GES%20Downloads/IMP33020693.xls" TargetMode="External"/><Relationship Id="rId46" Type="http://schemas.openxmlformats.org/officeDocument/2006/relationships/hyperlink" Target="../../../../../../../../Documents%20and%20Settings/vzl77v/Desktop/GES%20Downloads/IMP33021679.xls" TargetMode="External"/><Relationship Id="rId59" Type="http://schemas.openxmlformats.org/officeDocument/2006/relationships/hyperlink" Target="../../../../../../../../Documents%20and%20Settings/vzl77v/Desktop/GES%20Downloads/IMP33022728.xls" TargetMode="External"/><Relationship Id="rId67" Type="http://schemas.openxmlformats.org/officeDocument/2006/relationships/hyperlink" Target="../../../../../../../../Documents%20and%20Settings/vzl77v/Desktop/GES%20Downloads/IMP33023486.xls" TargetMode="External"/><Relationship Id="rId103" Type="http://schemas.openxmlformats.org/officeDocument/2006/relationships/hyperlink" Target="../../../../../../../../Documents%20and%20Settings/vzl77v/Desktop/GES%20Downloads/IMP33025883.xls" TargetMode="External"/><Relationship Id="rId108" Type="http://schemas.openxmlformats.org/officeDocument/2006/relationships/hyperlink" Target="../../../../../../../../Documents%20and%20Settings/vzl77v/Desktop/PLM%20Junk/PCN_checklist_P400149.xls" TargetMode="External"/><Relationship Id="rId116" Type="http://schemas.openxmlformats.org/officeDocument/2006/relationships/hyperlink" Target="../../../../../../../../Documents%20and%20Settings/vzl77v/Desktop/PLM%20Junk/Product/PCN_checklist_P400116.xls" TargetMode="External"/><Relationship Id="rId124" Type="http://schemas.openxmlformats.org/officeDocument/2006/relationships/hyperlink" Target="../../../../../../../../Documents%20and%20Settings/vzl77v/Desktop/PLM%20Junk/Product/PCN_checklist_P400208.xls" TargetMode="External"/><Relationship Id="rId129" Type="http://schemas.openxmlformats.org/officeDocument/2006/relationships/hyperlink" Target="../../../../../../../../Documents%20and%20Settings/vzl77v/Desktop/PLM%20Junk/Product/PCN_checklist_P400311.xls" TargetMode="External"/><Relationship Id="rId137" Type="http://schemas.openxmlformats.org/officeDocument/2006/relationships/hyperlink" Target="../../../../../../../../Documents%20and%20Settings/vzl77v/Desktop/PLM%20Junk/Product/PCN_checklist_P400411.xls" TargetMode="External"/><Relationship Id="rId20" Type="http://schemas.openxmlformats.org/officeDocument/2006/relationships/hyperlink" Target="../../../../../../../../Documents%20and%20Settings/vzl77v/Desktop/GES%20Downloads/IMP33018818.xls" TargetMode="External"/><Relationship Id="rId41" Type="http://schemas.openxmlformats.org/officeDocument/2006/relationships/hyperlink" Target="../../../../../../../../Documents%20and%20Settings/vzl77v/Desktop/GES%20Downloads/IMP33021049.xls" TargetMode="External"/><Relationship Id="rId54" Type="http://schemas.openxmlformats.org/officeDocument/2006/relationships/hyperlink" Target="../../../../../../../../Documents%20and%20Settings/vzl77v/Desktop/GES%20Downloads/IMP33022304.xls" TargetMode="External"/><Relationship Id="rId62" Type="http://schemas.openxmlformats.org/officeDocument/2006/relationships/hyperlink" Target="../../../../../../../../Documents%20and%20Settings/vzl77v/Desktop/GES%20Downloads/IMP33022989.xls" TargetMode="External"/><Relationship Id="rId70" Type="http://schemas.openxmlformats.org/officeDocument/2006/relationships/hyperlink" Target="../../../../../../../../Documents%20and%20Settings/vzl77v/Desktop/GES%20Downloads/IMP33023784.xls" TargetMode="External"/><Relationship Id="rId75" Type="http://schemas.openxmlformats.org/officeDocument/2006/relationships/hyperlink" Target="../../../../../../../../Documents%20and%20Settings/vzl77v/Desktop/GES%20Downloads/IMP33024282.xls" TargetMode="External"/><Relationship Id="rId83" Type="http://schemas.openxmlformats.org/officeDocument/2006/relationships/hyperlink" Target="../../../../../../../../Documents%20and%20Settings/vzl77v/Desktop/GES%20Downloads/IMP33024772.xls" TargetMode="External"/><Relationship Id="rId88" Type="http://schemas.openxmlformats.org/officeDocument/2006/relationships/hyperlink" Target="../../../../../../../../Documents%20and%20Settings/vzl77v/Desktop/GES%20Downloads/IMP33024987.xls" TargetMode="External"/><Relationship Id="rId91" Type="http://schemas.openxmlformats.org/officeDocument/2006/relationships/hyperlink" Target="../../../../../../../../Documents%20and%20Settings/vzl77v/Desktop/GES%20Downloads/IMP33025181.xls" TargetMode="External"/><Relationship Id="rId96" Type="http://schemas.openxmlformats.org/officeDocument/2006/relationships/hyperlink" Target="../../../../../../../../Documents%20and%20Settings/vzl77v/Desktop/GES%20Downloads/IMP33025576.xls" TargetMode="External"/><Relationship Id="rId111" Type="http://schemas.openxmlformats.org/officeDocument/2006/relationships/hyperlink" Target="../../../../../../../../Documents%20and%20Settings/vzl77v/Desktop/PLM%20Junk/PCN_checklist_P400176.xls" TargetMode="External"/><Relationship Id="rId132" Type="http://schemas.openxmlformats.org/officeDocument/2006/relationships/hyperlink" Target="../../../../../../../../Documents%20and%20Settings/vzl77v/Desktop/PLM%20Junk/Product/PCN_checklist_P400323.xls" TargetMode="External"/><Relationship Id="rId140" Type="http://schemas.openxmlformats.org/officeDocument/2006/relationships/hyperlink" Target="../../../../../../../../Documents%20and%20Settings/vzl77v/Desktop/PLM%20Junk/Product/PCN_checklist_P400435.xls" TargetMode="Externa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5" Type="http://schemas.openxmlformats.org/officeDocument/2006/relationships/hyperlink" Target="../../../../../../../Documents%20and%20Settings/vzl77v/Desktop/GES%20Downloads/IMP33017291.xls" TargetMode="External"/><Relationship Id="rId23" Type="http://schemas.openxmlformats.org/officeDocument/2006/relationships/hyperlink" Target="../../../../../../../../Documents%20and%20Settings/vzl77v/Desktop/GES%20Downloads/IMP33019183.xls" TargetMode="External"/><Relationship Id="rId28" Type="http://schemas.openxmlformats.org/officeDocument/2006/relationships/hyperlink" Target="../../../../../../../../Documents%20and%20Settings/vzl77v/Desktop/GES%20Downloads/IMP33019511.xls" TargetMode="External"/><Relationship Id="rId36" Type="http://schemas.openxmlformats.org/officeDocument/2006/relationships/hyperlink" Target="../../../../../../../../Documents%20and%20Settings/vzl77v/Desktop/GES%20Downloads/IMP33020593.xls" TargetMode="External"/><Relationship Id="rId49" Type="http://schemas.openxmlformats.org/officeDocument/2006/relationships/hyperlink" Target="../../../../../../../../Documents%20and%20Settings/vzl77v/Desktop/GES%20Downloads/IMP33021799.xls" TargetMode="External"/><Relationship Id="rId57" Type="http://schemas.openxmlformats.org/officeDocument/2006/relationships/hyperlink" Target="../../../../../../../../Documents%20and%20Settings/vzl77v/Desktop/GES%20Downloads/IMP33022662.xls" TargetMode="External"/><Relationship Id="rId106" Type="http://schemas.openxmlformats.org/officeDocument/2006/relationships/hyperlink" Target="../../../../../../../../Documents%20and%20Settings/vzl77v/Desktop/GES%20Downloads/IMP33026276.xls" TargetMode="External"/><Relationship Id="rId114" Type="http://schemas.openxmlformats.org/officeDocument/2006/relationships/hyperlink" Target="../../../../../../../../Documents%20and%20Settings/vzl77v/Desktop/PLM%20Junk/Product/PCN_checklist_P400109.xls" TargetMode="External"/><Relationship Id="rId119" Type="http://schemas.openxmlformats.org/officeDocument/2006/relationships/hyperlink" Target="../../../../../../../../Documents%20and%20Settings/vzl77v/Desktop/PLM%20Junk/Product/PCN_checklist_P400119.xls" TargetMode="External"/><Relationship Id="rId127" Type="http://schemas.openxmlformats.org/officeDocument/2006/relationships/hyperlink" Target="../../../../../../../../Documents%20and%20Settings/vzl77v/Desktop/PLM%20Junk/Product/PCN_checklist_P400247.xls" TargetMode="External"/><Relationship Id="rId10"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2061.xls" TargetMode="External"/><Relationship Id="rId31" Type="http://schemas.openxmlformats.org/officeDocument/2006/relationships/hyperlink" Target="../../../../../../../../Documents%20and%20Settings/vzl77v/Desktop/GES%20Downloads/IMP33020118.xls" TargetMode="External"/><Relationship Id="rId44" Type="http://schemas.openxmlformats.org/officeDocument/2006/relationships/hyperlink" Target="../../../../../../../../Documents%20and%20Settings/vzl77v/Desktop/GES%20Downloads/IMP33021587.xls" TargetMode="External"/><Relationship Id="rId52" Type="http://schemas.openxmlformats.org/officeDocument/2006/relationships/hyperlink" Target="../../../../../../../../Documents%20and%20Settings/vzl77v/Desktop/GES%20Downloads/IMP33022199.xls" TargetMode="External"/><Relationship Id="rId60" Type="http://schemas.openxmlformats.org/officeDocument/2006/relationships/hyperlink" Target="../../../../../../../../Documents%20and%20Settings/vzl77v/Desktop/GES%20Downloads/IMP33022870.xls" TargetMode="External"/><Relationship Id="rId65" Type="http://schemas.openxmlformats.org/officeDocument/2006/relationships/hyperlink" Target="../../../../../../../../Documents%20and%20Settings/vzl77v/Desktop/GES%20Downloads/IMP33023168.xls" TargetMode="External"/><Relationship Id="rId73" Type="http://schemas.openxmlformats.org/officeDocument/2006/relationships/hyperlink" Target="../../../../../../../../Documents%20and%20Settings/vzl77v/Desktop/GES%20Downloads/IMP33024231.xls" TargetMode="External"/><Relationship Id="rId78" Type="http://schemas.openxmlformats.org/officeDocument/2006/relationships/hyperlink" Target="../../../../../../../../Documents%20and%20Settings/vzl77v/Desktop/GES%20Downloads/IMP33024448.xls" TargetMode="External"/><Relationship Id="rId81" Type="http://schemas.openxmlformats.org/officeDocument/2006/relationships/hyperlink" Target="../../../../../../../../Documents%20and%20Settings/vzl77v/Desktop/GES%20Downloads/IMP33024646.xls" TargetMode="External"/><Relationship Id="rId86" Type="http://schemas.openxmlformats.org/officeDocument/2006/relationships/hyperlink" Target="../../../../../../../../Documents%20and%20Settings/vzl77v/Desktop/GES%20Downloads/IMP33024922.xls" TargetMode="External"/><Relationship Id="rId94" Type="http://schemas.openxmlformats.org/officeDocument/2006/relationships/hyperlink" Target="../../../../../../../../Documents%20and%20Settings/vzl77v/Desktop/GES%20Downloads/IMP33025389.xls" TargetMode="External"/><Relationship Id="rId99" Type="http://schemas.openxmlformats.org/officeDocument/2006/relationships/hyperlink" Target="../../../../../../../../Documents%20and%20Settings/vzl77v/Desktop/GES%20Downloads/IMP33025726.xls" TargetMode="External"/><Relationship Id="rId101" Type="http://schemas.openxmlformats.org/officeDocument/2006/relationships/hyperlink" Target="../../../../../../../../Documents%20and%20Settings/vzl77v/Desktop/GES%20Downloads/IMP33025840.xls" TargetMode="External"/><Relationship Id="rId122" Type="http://schemas.openxmlformats.org/officeDocument/2006/relationships/hyperlink" Target="../../../../../../../../Documents%20and%20Settings/vzl77v/Desktop/PLM%20Junk/Product/PCN_checklist_P400154.xls" TargetMode="External"/><Relationship Id="rId130" Type="http://schemas.openxmlformats.org/officeDocument/2006/relationships/hyperlink" Target="../../../../../../../../Documents%20and%20Settings/vzl77v/Desktop/PLM%20Junk/Product/PCN_checklist_P400320.xls" TargetMode="External"/><Relationship Id="rId135" Type="http://schemas.openxmlformats.org/officeDocument/2006/relationships/hyperlink" Target="../../../../../../../../Documents%20and%20Settings/vzl77v/Desktop/PLM%20Junk/Product/PCN_checklist_P400384.xls" TargetMode="External"/><Relationship Id="rId143" Type="http://schemas.openxmlformats.org/officeDocument/2006/relationships/comments" Target="../comments1.xml"/><Relationship Id="rId4" Type="http://schemas.openxmlformats.org/officeDocument/2006/relationships/printerSettings" Target="../printerSettings/printerSettings4.bin"/><Relationship Id="rId9"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777.xls" TargetMode="External"/><Relationship Id="rId13" Type="http://schemas.openxmlformats.org/officeDocument/2006/relationships/hyperlink" Target="../../../../Desktop/GES%20Downloads/IMP33017179.xls" TargetMode="External"/><Relationship Id="rId18" Type="http://schemas.openxmlformats.org/officeDocument/2006/relationships/hyperlink" Target="../../../../../../../../Documents%20and%20Settings/vzl77v/Desktop/GES%20Downloads/IMP33018360.xls" TargetMode="External"/><Relationship Id="rId39" Type="http://schemas.openxmlformats.org/officeDocument/2006/relationships/hyperlink" Target="../../../../../../../../Documents%20and%20Settings/vzl77v/Desktop/GES%20Downloads/IMP33020739.xls" TargetMode="External"/><Relationship Id="rId109" Type="http://schemas.openxmlformats.org/officeDocument/2006/relationships/hyperlink" Target="../../../../../../../../Documents%20and%20Settings/vzl77v/Desktop/PLM%20Junk/PCN_checklist_P400164.xls" TargetMode="External"/><Relationship Id="rId34" Type="http://schemas.openxmlformats.org/officeDocument/2006/relationships/hyperlink" Target="../../../../../../../../Documents%20and%20Settings/vzl77v/Desktop/GES%20Downloads/IMP33020232.xls" TargetMode="External"/><Relationship Id="rId50" Type="http://schemas.openxmlformats.org/officeDocument/2006/relationships/hyperlink" Target="../../../../../../../../Documents%20and%20Settings/vzl77v/Desktop/GES%20Downloads/IMP33021803.xls" TargetMode="External"/><Relationship Id="rId55" Type="http://schemas.openxmlformats.org/officeDocument/2006/relationships/hyperlink" Target="../../../../../../../../Documents%20and%20Settings/vzl77v/Desktop/GES%20Downloads/IMP33022342.xls" TargetMode="External"/><Relationship Id="rId76" Type="http://schemas.openxmlformats.org/officeDocument/2006/relationships/hyperlink" Target="../../../../../../../../Documents%20and%20Settings/vzl77v/Desktop/GES%20Downloads/IMP33024445.xls" TargetMode="External"/><Relationship Id="rId97" Type="http://schemas.openxmlformats.org/officeDocument/2006/relationships/hyperlink" Target="../../../../../../../../Documents%20and%20Settings/vzl77v/Desktop/GES%20Downloads/IMP33025577.xls" TargetMode="External"/><Relationship Id="rId104" Type="http://schemas.openxmlformats.org/officeDocument/2006/relationships/hyperlink" Target="../../../../../../../../Documents%20and%20Settings/vzl77v/Desktop/GES%20Downloads/IMP33025903.xls" TargetMode="External"/><Relationship Id="rId120" Type="http://schemas.openxmlformats.org/officeDocument/2006/relationships/hyperlink" Target="../../../../../../../../Documents%20and%20Settings/vzl77v/Desktop/PLM%20Junk/Product/PCN_checklist_P400142.xls" TargetMode="External"/><Relationship Id="rId125" Type="http://schemas.openxmlformats.org/officeDocument/2006/relationships/hyperlink" Target="../../../../../../../../Documents%20and%20Settings/vzl77v/Desktop/PLM%20Junk/Product/PCN_checklist_P400239.xls" TargetMode="External"/><Relationship Id="rId141" Type="http://schemas.openxmlformats.org/officeDocument/2006/relationships/printerSettings" Target="../printerSettings/printerSettings8.bin"/><Relationship Id="rId7" Type="http://schemas.openxmlformats.org/officeDocument/2006/relationships/printerSettings" Target="../printerSettings/printerSettings7.bin"/><Relationship Id="rId71" Type="http://schemas.openxmlformats.org/officeDocument/2006/relationships/hyperlink" Target="../../../../../../../../Documents%20and%20Settings/vzl77v/Desktop/GES%20Downloads/IMP33024152.xls" TargetMode="External"/><Relationship Id="rId92" Type="http://schemas.openxmlformats.org/officeDocument/2006/relationships/hyperlink" Target="../../../../../../../../Documents%20and%20Settings/vzl77v/Desktop/GES%20Downloads/IMP33025182.xls" TargetMode="External"/><Relationship Id="rId2" Type="http://schemas.openxmlformats.org/officeDocument/2006/relationships/printerSettings" Target="../printerSettings/printerSettings2.bin"/><Relationship Id="rId29" Type="http://schemas.openxmlformats.org/officeDocument/2006/relationships/hyperlink" Target="../../../../../../../../Documents%20and%20Settings/vzl77v/Desktop/GES%20Downloads/IMP33019585.xls" TargetMode="External"/><Relationship Id="rId24" Type="http://schemas.openxmlformats.org/officeDocument/2006/relationships/hyperlink" Target="../../../../../../../../Documents%20and%20Settings/vzl77v/Desktop/GES%20Downloads/IMP33019215.xls" TargetMode="External"/><Relationship Id="rId40" Type="http://schemas.openxmlformats.org/officeDocument/2006/relationships/hyperlink" Target="../../../../../../../../Documents%20and%20Settings/vzl77v/Desktop/GES%20Downloads/IMP33021047.xls" TargetMode="External"/><Relationship Id="rId45" Type="http://schemas.openxmlformats.org/officeDocument/2006/relationships/hyperlink" Target="../../../../../../../../Documents%20and%20Settings/vzl77v/Desktop/GES%20Downloads/IMP33021591.xls" TargetMode="External"/><Relationship Id="rId66" Type="http://schemas.openxmlformats.org/officeDocument/2006/relationships/hyperlink" Target="../../../../../../../../Documents%20and%20Settings/vzl77v/Desktop/GES%20Downloads/IMP33023451.xls" TargetMode="External"/><Relationship Id="rId87" Type="http://schemas.openxmlformats.org/officeDocument/2006/relationships/hyperlink" Target="../../../../../../../../Documents%20and%20Settings/vzl77v/Desktop/GES%20Downloads/IMP33024985.xls" TargetMode="External"/><Relationship Id="rId110" Type="http://schemas.openxmlformats.org/officeDocument/2006/relationships/hyperlink" Target="../../../../../../../../Documents%20and%20Settings/vzl77v/Desktop/PLM%20Junk/PCN_checklist_P400167.xls" TargetMode="External"/><Relationship Id="rId115" Type="http://schemas.openxmlformats.org/officeDocument/2006/relationships/hyperlink" Target="../../../../../../../../Documents%20and%20Settings/vzl77v/Desktop/PLM%20Junk/Product/PCN_checklist_P400110.xls" TargetMode="External"/><Relationship Id="rId131" Type="http://schemas.openxmlformats.org/officeDocument/2006/relationships/hyperlink" Target="../../../../../../../../Documents%20and%20Settings/vzl77v/Desktop/PLM%20Junk/Product/PCN_checklist_P400321.xls" TargetMode="External"/><Relationship Id="rId136" Type="http://schemas.openxmlformats.org/officeDocument/2006/relationships/hyperlink" Target="../../../../../../../../Documents%20and%20Settings/vzl77v/Desktop/PLM%20Junk/Product/PCN_checklist_P400409.xls" TargetMode="External"/><Relationship Id="rId61" Type="http://schemas.openxmlformats.org/officeDocument/2006/relationships/hyperlink" Target="../../../../../../../../Documents%20and%20Settings/vzl77v/Desktop/GES%20Downloads/IMP33022980.xls" TargetMode="External"/><Relationship Id="rId82" Type="http://schemas.openxmlformats.org/officeDocument/2006/relationships/hyperlink" Target="../../../../../../../../Documents%20and%20Settings/vzl77v/Desktop/GES%20Downloads/IMP33024648.xls" TargetMode="External"/><Relationship Id="rId19" Type="http://schemas.openxmlformats.org/officeDocument/2006/relationships/hyperlink" Target="../../../../../../../../Documents%20and%20Settings/vzl77v/Desktop/GES%20Downloads/IMP33018806.xls" TargetMode="External"/><Relationship Id="rId14" Type="http://schemas.openxmlformats.org/officeDocument/2006/relationships/hyperlink" Target="../../../../../../../Documents%20and%20Settings/vzl77v/Desktop/GES%20Downloads/IMP33017256.xls" TargetMode="External"/><Relationship Id="rId30" Type="http://schemas.openxmlformats.org/officeDocument/2006/relationships/hyperlink" Target="../../../../../../../../Documents%20and%20Settings/vzl77v/Desktop/GES%20Downloads/IMP33019621.xls" TargetMode="External"/><Relationship Id="rId35" Type="http://schemas.openxmlformats.org/officeDocument/2006/relationships/hyperlink" Target="../../../../../../../../Documents%20and%20Settings/vzl77v/Desktop/GES%20Downloads/IMP33020385.xls" TargetMode="External"/><Relationship Id="rId56" Type="http://schemas.openxmlformats.org/officeDocument/2006/relationships/hyperlink" Target="../../../../../../../../Documents%20and%20Settings/vzl77v/Desktop/GES%20Downloads/IMP33022630.xls" TargetMode="External"/><Relationship Id="rId77" Type="http://schemas.openxmlformats.org/officeDocument/2006/relationships/hyperlink" Target="../../../../../../../../Documents%20and%20Settings/vzl77v/Desktop/GES%20Downloads/IMP33024446.xls" TargetMode="External"/><Relationship Id="rId100" Type="http://schemas.openxmlformats.org/officeDocument/2006/relationships/hyperlink" Target="../../../../../../../../Documents%20and%20Settings/vzl77v/Desktop/GES%20Downloads/IMP33025837.xls" TargetMode="External"/><Relationship Id="rId105" Type="http://schemas.openxmlformats.org/officeDocument/2006/relationships/hyperlink" Target="../../../../../../../../Documents%20and%20Settings/vzl77v/Desktop/GES%20Downloads/IMP33025997.xls" TargetMode="External"/><Relationship Id="rId126" Type="http://schemas.openxmlformats.org/officeDocument/2006/relationships/hyperlink" Target="../../../../../../../../Documents%20and%20Settings/vzl77v/Desktop/PLM%20Junk/Product/PCN_checklist_P400245.xls"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Documents%20and%20Settings/vzl77v/Desktop/GES%20Downloads/IMP33018270.xls" TargetMode="External"/><Relationship Id="rId13" Type="http://schemas.openxmlformats.org/officeDocument/2006/relationships/hyperlink" Target="../../../../../../../../Documents%20and%20Settings/vzl77v/Desktop/GES%20Downloads/IMP33019130.xls" TargetMode="External"/><Relationship Id="rId18" Type="http://schemas.openxmlformats.org/officeDocument/2006/relationships/hyperlink" Target="../../../../../../../../Documents%20and%20Settings/vzl77v/Desktop/GES%20Downloads/IMP33019621.xls" TargetMode="External"/><Relationship Id="rId26" Type="http://schemas.openxmlformats.org/officeDocument/2006/relationships/hyperlink" Target="../../../../../../../../Documents%20and%20Settings/vzl77v/Desktop/GES%20Downloads/IMP33020739.xls" TargetMode="External"/><Relationship Id="rId3"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2061.xls" TargetMode="External"/><Relationship Id="rId21" Type="http://schemas.openxmlformats.org/officeDocument/2006/relationships/hyperlink" Target="../../../../../../../../Documents%20and%20Settings/vzl77v/Desktop/GES%20Downloads/IMP33020231.xls" TargetMode="External"/><Relationship Id="rId7" Type="http://schemas.openxmlformats.org/officeDocument/2006/relationships/hyperlink" Target="../../../../../../../Documents%20and%20Settings/vzl77v/Desktop/GES%20Downloads/IMP33017291.xls" TargetMode="External"/><Relationship Id="rId12" Type="http://schemas.openxmlformats.org/officeDocument/2006/relationships/hyperlink" Target="../../../../../../../../Documents%20and%20Settings/vzl77v/Desktop/GES%20Downloads/IMP33019095.xls" TargetMode="External"/><Relationship Id="rId17" Type="http://schemas.openxmlformats.org/officeDocument/2006/relationships/hyperlink" Target="../../../../../../../../Documents%20and%20Settings/vzl77v/Desktop/GES%20Downloads/IMP33019585.xls" TargetMode="External"/><Relationship Id="rId25" Type="http://schemas.openxmlformats.org/officeDocument/2006/relationships/hyperlink" Target="../../../../../../../../Documents%20and%20Settings/vzl77v/Desktop/GES%20Downloads/IMP33020693.xls" TargetMode="External"/><Relationship Id="rId2"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777.xls" TargetMode="External"/><Relationship Id="rId16" Type="http://schemas.openxmlformats.org/officeDocument/2006/relationships/hyperlink" Target="../../../../../../../../Documents%20and%20Settings/vzl77v/Desktop/GES%20Downloads/IMP33019511.xls" TargetMode="External"/><Relationship Id="rId20" Type="http://schemas.openxmlformats.org/officeDocument/2006/relationships/hyperlink" Target="../../../../../../../../Documents%20and%20Settings/vzl77v/Desktop/GES%20Downloads/IMP33020229.xls" TargetMode="External"/><Relationship Id="rId29" Type="http://schemas.openxmlformats.org/officeDocument/2006/relationships/printerSettings" Target="../printerSettings/printerSettings9.bin"/><Relationship Id="rId1"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814.xls" TargetMode="External"/><Relationship Id="rId6" Type="http://schemas.openxmlformats.org/officeDocument/2006/relationships/hyperlink" Target="../../../../../../../Documents%20and%20Settings/vzl77v/Desktop/GES%20Downloads/IMP33017256.xls" TargetMode="External"/><Relationship Id="rId11" Type="http://schemas.openxmlformats.org/officeDocument/2006/relationships/hyperlink" Target="../../../../../../../../Documents%20and%20Settings/vzl77v/Desktop/GES%20Downloads/IMP33018818.xls" TargetMode="External"/><Relationship Id="rId24" Type="http://schemas.openxmlformats.org/officeDocument/2006/relationships/hyperlink" Target="../../../../../../../../Documents%20and%20Settings/vzl77v/Desktop/GES%20Downloads/IMP33020593.xls" TargetMode="External"/><Relationship Id="rId5" Type="http://schemas.openxmlformats.org/officeDocument/2006/relationships/hyperlink" Target="../../../../Desktop/GES%20Downloads/IMP33017179.xls" TargetMode="External"/><Relationship Id="rId15" Type="http://schemas.openxmlformats.org/officeDocument/2006/relationships/hyperlink" Target="../../../../../../../../Documents%20and%20Settings/vzl77v/Desktop/GES%20Downloads/IMP33019510.xls" TargetMode="External"/><Relationship Id="rId23" Type="http://schemas.openxmlformats.org/officeDocument/2006/relationships/hyperlink" Target="../../../../../../../../Documents%20and%20Settings/vzl77v/Desktop/GES%20Downloads/IMP33020385.xls" TargetMode="External"/><Relationship Id="rId28" Type="http://schemas.openxmlformats.org/officeDocument/2006/relationships/hyperlink" Target="../../../../../../../../Documents%20and%20Settings/vzl77v/Desktop/GES%20Downloads/IMP33021338.xls" TargetMode="External"/><Relationship Id="rId10" Type="http://schemas.openxmlformats.org/officeDocument/2006/relationships/hyperlink" Target="../../../../../../../../Documents%20and%20Settings/vzl77v/Desktop/GES%20Downloads/IMP33018806.xls" TargetMode="External"/><Relationship Id="rId19" Type="http://schemas.openxmlformats.org/officeDocument/2006/relationships/hyperlink" Target="../../../../../../../../Documents%20and%20Settings/vzl77v/Desktop/GES%20Downloads/IMP33020118.xls" TargetMode="External"/><Relationship Id="rId31" Type="http://schemas.openxmlformats.org/officeDocument/2006/relationships/comments" Target="../comments2.xml"/><Relationship Id="rId4"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546.xls" TargetMode="External"/><Relationship Id="rId9" Type="http://schemas.openxmlformats.org/officeDocument/2006/relationships/hyperlink" Target="../../../../../../../../Documents%20and%20Settings/vzl77v/Desktop/GES%20Downloads/IMP33018360.xls" TargetMode="External"/><Relationship Id="rId14" Type="http://schemas.openxmlformats.org/officeDocument/2006/relationships/hyperlink" Target="../../../../../../../../Documents%20and%20Settings/vzl77v/Desktop/GES%20Downloads/IMP33019215.xls" TargetMode="External"/><Relationship Id="rId22" Type="http://schemas.openxmlformats.org/officeDocument/2006/relationships/hyperlink" Target="../../../../../../../../Documents%20and%20Settings/vzl77v/Desktop/GES%20Downloads/IMP33020232.xls" TargetMode="External"/><Relationship Id="rId27" Type="http://schemas.openxmlformats.org/officeDocument/2006/relationships/hyperlink" Target="../../../../../../../../Documents%20and%20Settings/vzl77v/Desktop/GES%20Downloads/IMP33021047.xls" TargetMode="External"/><Relationship Id="rId30"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3" Type="http://schemas.openxmlformats.org/officeDocument/2006/relationships/hyperlink" Target="../../../../../../../../Documents%20and%20Settings/vzl77v/Desktop/GES%20Downloads/IMP33021685.xls" TargetMode="External"/><Relationship Id="rId18" Type="http://schemas.openxmlformats.org/officeDocument/2006/relationships/hyperlink" Target="../../../../../../../../Documents%20and%20Settings/vzl77v/Desktop/GES%20Downloads/IMP33022268.xls" TargetMode="External"/><Relationship Id="rId26" Type="http://schemas.openxmlformats.org/officeDocument/2006/relationships/hyperlink" Target="../../../../../../../../Documents%20and%20Settings/vzl77v/Desktop/GES%20Downloads/IMP33022989.xls" TargetMode="External"/><Relationship Id="rId39" Type="http://schemas.openxmlformats.org/officeDocument/2006/relationships/hyperlink" Target="../../../../../../../../Documents%20and%20Settings/vzl77v/Desktop/GES%20Downloads/IMP33024449.xls" TargetMode="External"/><Relationship Id="rId21" Type="http://schemas.openxmlformats.org/officeDocument/2006/relationships/hyperlink" Target="../../../../../../../../Documents%20and%20Settings/vzl77v/Desktop/GES%20Downloads/IMP33022662.xls" TargetMode="External"/><Relationship Id="rId34" Type="http://schemas.openxmlformats.org/officeDocument/2006/relationships/hyperlink" Target="../../../../../../../../Documents%20and%20Settings/vzl77v/Desktop/GES%20Downloads/IMP33024231.xls" TargetMode="External"/><Relationship Id="rId42" Type="http://schemas.openxmlformats.org/officeDocument/2006/relationships/hyperlink" Target="../../../../../../../../Documents%20and%20Settings/vzl77v/Desktop/GES%20Downloads/IMP33024648.xls" TargetMode="External"/><Relationship Id="rId47" Type="http://schemas.openxmlformats.org/officeDocument/2006/relationships/hyperlink" Target="../../../../../../../../Documents%20and%20Settings/vzl77v/Desktop/GES%20Downloads/IMP33025026.xls" TargetMode="External"/><Relationship Id="rId50" Type="http://schemas.openxmlformats.org/officeDocument/2006/relationships/hyperlink" Target="../../../../../../../../Documents%20and%20Settings/vzl77v/Desktop/GES%20Downloads/IMP33025389.xls" TargetMode="External"/><Relationship Id="rId55" Type="http://schemas.openxmlformats.org/officeDocument/2006/relationships/hyperlink" Target="../../../../../../../../Documents%20and%20Settings/vzl77v/Desktop/GES%20Downloads/IMP33025841.xls" TargetMode="External"/><Relationship Id="rId63" Type="http://schemas.openxmlformats.org/officeDocument/2006/relationships/comments" Target="../comments3.xml"/><Relationship Id="rId7" Type="http://schemas.openxmlformats.org/officeDocument/2006/relationships/hyperlink" Target="../../../../../../../../Documents%20and%20Settings/vzl77v/Desktop/GES%20Downloads/IMP33020594.xls" TargetMode="External"/><Relationship Id="rId2"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3184.xls" TargetMode="External"/><Relationship Id="rId16" Type="http://schemas.openxmlformats.org/officeDocument/2006/relationships/hyperlink" Target="../../../../../../../../Documents%20and%20Settings/vzl77v/Desktop/GES%20Downloads/IMP33021803.xls" TargetMode="External"/><Relationship Id="rId20" Type="http://schemas.openxmlformats.org/officeDocument/2006/relationships/hyperlink" Target="../../../../../../../../Documents%20and%20Settings/vzl77v/Desktop/GES%20Downloads/IMP33022342.xls" TargetMode="External"/><Relationship Id="rId29" Type="http://schemas.openxmlformats.org/officeDocument/2006/relationships/hyperlink" Target="../../../../../../../../Documents%20and%20Settings/vzl77v/Desktop/GES%20Downloads/IMP33023451.xls" TargetMode="External"/><Relationship Id="rId41" Type="http://schemas.openxmlformats.org/officeDocument/2006/relationships/hyperlink" Target="../../../../../../../../Documents%20and%20Settings/vzl77v/Desktop/GES%20Downloads/IMP33024646.xls" TargetMode="External"/><Relationship Id="rId54" Type="http://schemas.openxmlformats.org/officeDocument/2006/relationships/hyperlink" Target="../../../../../../../../Documents%20and%20Settings/vzl77v/Desktop/GES%20Downloads/IMP33025603.xls" TargetMode="External"/><Relationship Id="rId62" Type="http://schemas.openxmlformats.org/officeDocument/2006/relationships/vmlDrawing" Target="../drawings/vmlDrawing3.vml"/><Relationship Id="rId1" Type="http://schemas.openxmlformats.org/officeDocument/2006/relationships/hyperlink" Target="../../../../../../../../Documents%20and%20Settings/vzl77v/Desktop/PLM%20Junk/Product/PCN_checklist_P400203.xls" TargetMode="External"/><Relationship Id="rId6" Type="http://schemas.openxmlformats.org/officeDocument/2006/relationships/hyperlink" Target="../../../../../../../../Documents%20and%20Settings/vzl77v/Desktop/GES%20Downloads/IMP33019183.xls" TargetMode="External"/><Relationship Id="rId11" Type="http://schemas.openxmlformats.org/officeDocument/2006/relationships/hyperlink" Target="../../../../../../../../Documents%20and%20Settings/vzl77v/Desktop/GES%20Downloads/IMP33021591.xls" TargetMode="External"/><Relationship Id="rId24" Type="http://schemas.openxmlformats.org/officeDocument/2006/relationships/hyperlink" Target="../../../../../../../../Documents%20and%20Settings/vzl77v/Desktop/GES%20Downloads/IMP33022870.xls" TargetMode="External"/><Relationship Id="rId32" Type="http://schemas.openxmlformats.org/officeDocument/2006/relationships/hyperlink" Target="../../../../../../../../Documents%20and%20Settings/vzl77v/Desktop/GES%20Downloads/IMP33024152.xls" TargetMode="External"/><Relationship Id="rId37" Type="http://schemas.openxmlformats.org/officeDocument/2006/relationships/hyperlink" Target="../../../../../../../../Documents%20and%20Settings/vzl77v/Desktop/GES%20Downloads/IMP33024445.xls" TargetMode="External"/><Relationship Id="rId40" Type="http://schemas.openxmlformats.org/officeDocument/2006/relationships/hyperlink" Target="../../../../../../../../Documents%20and%20Settings/vzl77v/Desktop/GES%20Downloads/IMP33024644.xls" TargetMode="External"/><Relationship Id="rId45" Type="http://schemas.openxmlformats.org/officeDocument/2006/relationships/hyperlink" Target="../../../../../../../../Documents%20and%20Settings/vzl77v/Desktop/GES%20Downloads/IMP33024987.xls" TargetMode="External"/><Relationship Id="rId53" Type="http://schemas.openxmlformats.org/officeDocument/2006/relationships/hyperlink" Target="../../../../../../../../Documents%20and%20Settings/vzl77v/Desktop/GES%20Downloads/IMP33025577.xls" TargetMode="External"/><Relationship Id="rId58" Type="http://schemas.openxmlformats.org/officeDocument/2006/relationships/hyperlink" Target="../../../../../../../../Documents%20and%20Settings/vzl77v/Desktop/PLM%20Junk/Product/PCN_checklist_P400110.xls" TargetMode="External"/><Relationship Id="rId5" Type="http://schemas.openxmlformats.org/officeDocument/2006/relationships/hyperlink" Target="../../../../../../../../Documents%20and%20Settings/vzl77v/Desktop/GES%20Downloads/IMP33019177.xls" TargetMode="External"/><Relationship Id="rId15" Type="http://schemas.openxmlformats.org/officeDocument/2006/relationships/hyperlink" Target="../../../../../../../../Documents%20and%20Settings/vzl77v/Desktop/GES%20Downloads/IMP33021799.xls" TargetMode="External"/><Relationship Id="rId23" Type="http://schemas.openxmlformats.org/officeDocument/2006/relationships/hyperlink" Target="../../../../../../../../Documents%20and%20Settings/vzl77v/Desktop/GES%20Downloads/IMP33022728.xls" TargetMode="External"/><Relationship Id="rId28" Type="http://schemas.openxmlformats.org/officeDocument/2006/relationships/hyperlink" Target="../../../../../../../../Documents%20and%20Settings/vzl77v/Desktop/GES%20Downloads/IMP33023168.xls" TargetMode="External"/><Relationship Id="rId36" Type="http://schemas.openxmlformats.org/officeDocument/2006/relationships/hyperlink" Target="../../../../../../../../Documents%20and%20Settings/vzl77v/Desktop/GES%20Downloads/IMP33024282.xls" TargetMode="External"/><Relationship Id="rId49" Type="http://schemas.openxmlformats.org/officeDocument/2006/relationships/hyperlink" Target="../../../../../../../../Documents%20and%20Settings/vzl77v/Desktop/GES%20Downloads/IMP33025183.xls" TargetMode="External"/><Relationship Id="rId57" Type="http://schemas.openxmlformats.org/officeDocument/2006/relationships/hyperlink" Target="../../../../../../../../Documents%20and%20Settings/vzl77v/Desktop/GES%20Downloads/IMP33025903.xls" TargetMode="External"/><Relationship Id="rId61" Type="http://schemas.openxmlformats.org/officeDocument/2006/relationships/printerSettings" Target="../printerSettings/printerSettings10.bin"/><Relationship Id="rId10" Type="http://schemas.openxmlformats.org/officeDocument/2006/relationships/hyperlink" Target="../../../../../../../../Documents%20and%20Settings/vzl77v/Desktop/GES%20Downloads/IMP33021587.xls" TargetMode="External"/><Relationship Id="rId19" Type="http://schemas.openxmlformats.org/officeDocument/2006/relationships/hyperlink" Target="../../../../../../../../Documents%20and%20Settings/vzl77v/Desktop/GES%20Downloads/IMP33022304.xls" TargetMode="External"/><Relationship Id="rId31" Type="http://schemas.openxmlformats.org/officeDocument/2006/relationships/hyperlink" Target="../../../../../../../../Documents%20and%20Settings/vzl77v/Desktop/GES%20Downloads/IMP33023784.xls" TargetMode="External"/><Relationship Id="rId44" Type="http://schemas.openxmlformats.org/officeDocument/2006/relationships/hyperlink" Target="../../../../../../../../Documents%20and%20Settings/vzl77v/Desktop/GES%20Downloads/IMP33024922.xls" TargetMode="External"/><Relationship Id="rId52" Type="http://schemas.openxmlformats.org/officeDocument/2006/relationships/hyperlink" Target="../../../../../../../../Documents%20and%20Settings/vzl77v/Desktop/GES%20Downloads/IMP33025576.xls" TargetMode="External"/><Relationship Id="rId60" Type="http://schemas.openxmlformats.org/officeDocument/2006/relationships/hyperlink" Target="../../../../../../../../Documents%20and%20Settings/vzl77v/Desktop/PLM%20Junk/Product/PCN_checklist_P400146.xls" TargetMode="External"/><Relationship Id="rId4" Type="http://schemas.openxmlformats.org/officeDocument/2006/relationships/hyperlink" Target="../../../../../../../../Documents%20and%20Settings/vzl77v/Desktop/GES%20Downloads/IMP33019174.xls" TargetMode="External"/><Relationship Id="rId9" Type="http://schemas.openxmlformats.org/officeDocument/2006/relationships/hyperlink" Target="../../../../../../../../Documents%20and%20Settings/vzl77v/Desktop/GES%20Downloads/IMP33021337.xls" TargetMode="External"/><Relationship Id="rId14" Type="http://schemas.openxmlformats.org/officeDocument/2006/relationships/hyperlink" Target="../../../../../../../../Documents%20and%20Settings/vzl77v/Desktop/GES%20Downloads/IMP33021736.xls" TargetMode="External"/><Relationship Id="rId22" Type="http://schemas.openxmlformats.org/officeDocument/2006/relationships/hyperlink" Target="../../../../../../../../Documents%20and%20Settings/vzl77v/Desktop/GES%20Downloads/IMP33022664.xls" TargetMode="External"/><Relationship Id="rId27" Type="http://schemas.openxmlformats.org/officeDocument/2006/relationships/hyperlink" Target="../../../../../../../../Documents%20and%20Settings/vzl77v/Desktop/GES%20Downloads/IMP33023096.xls" TargetMode="External"/><Relationship Id="rId30" Type="http://schemas.openxmlformats.org/officeDocument/2006/relationships/hyperlink" Target="../../../../../../../../Documents%20and%20Settings/vzl77v/Desktop/GES%20Downloads/IMP33023487.xls" TargetMode="External"/><Relationship Id="rId35" Type="http://schemas.openxmlformats.org/officeDocument/2006/relationships/hyperlink" Target="../../../../../../../../Documents%20and%20Settings/vzl77v/Desktop/GES%20Downloads/IMP33024266.xls" TargetMode="External"/><Relationship Id="rId43" Type="http://schemas.openxmlformats.org/officeDocument/2006/relationships/hyperlink" Target="../../../../../../../../Documents%20and%20Settings/vzl77v/Desktop/GES%20Downloads/IMP33024856.xls" TargetMode="External"/><Relationship Id="rId48" Type="http://schemas.openxmlformats.org/officeDocument/2006/relationships/hyperlink" Target="../../../../../../../../Documents%20and%20Settings/vzl77v/Desktop/GES%20Downloads/IMP33025181.xls" TargetMode="External"/><Relationship Id="rId56" Type="http://schemas.openxmlformats.org/officeDocument/2006/relationships/hyperlink" Target="../../../../../../../../Documents%20and%20Settings/vzl77v/Desktop/GES%20Downloads/IMP33025883.xls" TargetMode="External"/><Relationship Id="rId8" Type="http://schemas.openxmlformats.org/officeDocument/2006/relationships/hyperlink" Target="../../../../../../../../Documents%20and%20Settings/vzl77v/Desktop/GES%20Downloads/IMP33021049.xls" TargetMode="External"/><Relationship Id="rId51" Type="http://schemas.openxmlformats.org/officeDocument/2006/relationships/hyperlink" Target="../../../../../../../../Documents%20and%20Settings/vzl77v/Desktop/GES%20Downloads/IMP33025525.xls" TargetMode="External"/><Relationship Id="rId3" Type="http://schemas.openxmlformats.org/officeDocument/2006/relationships/hyperlink" Target="../../../../../../../../Documents%20and%20Settings/vzl77v/Desktop/GES%20Downloads/IMP33017628.xls" TargetMode="External"/><Relationship Id="rId12" Type="http://schemas.openxmlformats.org/officeDocument/2006/relationships/hyperlink" Target="../../../../../../../../Documents%20and%20Settings/vzl77v/Desktop/GES%20Downloads/IMP33021679.xls" TargetMode="External"/><Relationship Id="rId17" Type="http://schemas.openxmlformats.org/officeDocument/2006/relationships/hyperlink" Target="../../../../../../../../Documents%20and%20Settings/vzl77v/Desktop/GES%20Downloads/IMP33021877.xls" TargetMode="External"/><Relationship Id="rId25" Type="http://schemas.openxmlformats.org/officeDocument/2006/relationships/hyperlink" Target="../../../../../../../../Documents%20and%20Settings/vzl77v/Desktop/GES%20Downloads/IMP33022980.xls" TargetMode="External"/><Relationship Id="rId33" Type="http://schemas.openxmlformats.org/officeDocument/2006/relationships/hyperlink" Target="../../../../../../../../Documents%20and%20Settings/vzl77v/Desktop/GES%20Downloads/IMP33024154.xls" TargetMode="External"/><Relationship Id="rId38" Type="http://schemas.openxmlformats.org/officeDocument/2006/relationships/hyperlink" Target="../../../../../../../../Documents%20and%20Settings/vzl77v/Desktop/GES%20Downloads/IMP33024446.xls" TargetMode="External"/><Relationship Id="rId46" Type="http://schemas.openxmlformats.org/officeDocument/2006/relationships/hyperlink" Target="../../../../../../../../Documents%20and%20Settings/vzl77v/Desktop/GES%20Downloads/IMP33024985.xls" TargetMode="External"/><Relationship Id="rId59" Type="http://schemas.openxmlformats.org/officeDocument/2006/relationships/hyperlink" Target="../../../../../../../../Documents%20and%20Settings/vzl77v/Desktop/PLM%20Junk/Product/PCN_checklist_P400117.xl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Documents%20and%20Settings/vzl77v/Desktop/GES%20Downloads/IMP33019130.xls" TargetMode="External"/><Relationship Id="rId13" Type="http://schemas.openxmlformats.org/officeDocument/2006/relationships/hyperlink" Target="../../../../../../../../Documents%20and%20Settings/vzl77v/Desktop/GES%20Downloads/IMP33020232.xls" TargetMode="External"/><Relationship Id="rId18" Type="http://schemas.openxmlformats.org/officeDocument/2006/relationships/hyperlink" Target="../../../../../../../../Documents%20and%20Settings/vzl77v/Desktop/GES%20Downloads/IMP33021049.xls" TargetMode="External"/><Relationship Id="rId26" Type="http://schemas.openxmlformats.org/officeDocument/2006/relationships/hyperlink" Target="../../../../../../../../Documents%20and%20Settings/vzl77v/Desktop/GES%20Downloads/IMP33023168.xls" TargetMode="External"/><Relationship Id="rId3" Type="http://schemas.openxmlformats.org/officeDocument/2006/relationships/hyperlink" Target="../../../../../../../../Documents%20and%20Settings/vzl77v/Desktop/GES%20Downloads/IMP33017628.xls" TargetMode="External"/><Relationship Id="rId21" Type="http://schemas.openxmlformats.org/officeDocument/2006/relationships/hyperlink" Target="../../../../../../../../Documents%20and%20Settings/vzl77v/Desktop/GES%20Downloads/IMP33021736.xls" TargetMode="External"/><Relationship Id="rId34" Type="http://schemas.openxmlformats.org/officeDocument/2006/relationships/vmlDrawing" Target="../drawings/vmlDrawing4.vml"/><Relationship Id="rId7" Type="http://schemas.openxmlformats.org/officeDocument/2006/relationships/hyperlink" Target="../../../../../../../../Documents%20and%20Settings/vzl77v/Desktop/GES%20Downloads/IMP33019095.xls" TargetMode="External"/><Relationship Id="rId12" Type="http://schemas.openxmlformats.org/officeDocument/2006/relationships/hyperlink" Target="../../../../../../../../Documents%20and%20Settings/vzl77v/Desktop/GES%20Downloads/IMP33020229.xls" TargetMode="External"/><Relationship Id="rId17" Type="http://schemas.openxmlformats.org/officeDocument/2006/relationships/hyperlink" Target="../../../../../../../../Documents%20and%20Settings/vzl77v/Desktop/GES%20Downloads/IMP33020739.xls" TargetMode="External"/><Relationship Id="rId25" Type="http://schemas.openxmlformats.org/officeDocument/2006/relationships/hyperlink" Target="../../../../../../../../Documents%20and%20Settings/vzl77v/Desktop/GES%20Downloads/IMP33022662.xls" TargetMode="External"/><Relationship Id="rId33" Type="http://schemas.openxmlformats.org/officeDocument/2006/relationships/printerSettings" Target="../printerSettings/printerSettings11.bin"/><Relationship Id="rId2"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3184.xls" TargetMode="External"/><Relationship Id="rId16" Type="http://schemas.openxmlformats.org/officeDocument/2006/relationships/hyperlink" Target="../../../../../../../../Documents%20and%20Settings/vzl77v/Desktop/GES%20Downloads/IMP33020693.xls" TargetMode="External"/><Relationship Id="rId20" Type="http://schemas.openxmlformats.org/officeDocument/2006/relationships/hyperlink" Target="../../../../../../../../Documents%20and%20Settings/vzl77v/Desktop/GES%20Downloads/IMP33021685.xls" TargetMode="External"/><Relationship Id="rId29" Type="http://schemas.openxmlformats.org/officeDocument/2006/relationships/hyperlink" Target="../../../../../../../../Documents%20and%20Settings/vzl77v/Desktop/GES%20Downloads/IMP33025026.xls" TargetMode="External"/><Relationship Id="rId1" Type="http://schemas.openxmlformats.org/officeDocument/2006/relationships/hyperlink" Target="../../../../../../../../Documents%20and%20Settings/vzl77v/Desktop/PLM%20Junk/Product/PCN_checklist_P400203.xls" TargetMode="External"/><Relationship Id="rId6" Type="http://schemas.openxmlformats.org/officeDocument/2006/relationships/hyperlink" Target="../../../../../../../../Documents%20and%20Settings/vzl77v/Desktop/GES%20Downloads/IMP33018806.xls" TargetMode="External"/><Relationship Id="rId11" Type="http://schemas.openxmlformats.org/officeDocument/2006/relationships/hyperlink" Target="../../../../../../../../Documents%20and%20Settings/vzl77v/Desktop/GES%20Downloads/IMP33019585.xls" TargetMode="External"/><Relationship Id="rId24" Type="http://schemas.openxmlformats.org/officeDocument/2006/relationships/hyperlink" Target="../../../../../../../../Documents%20and%20Settings/vzl77v/Desktop/GES%20Downloads/IMP33021877.xls" TargetMode="External"/><Relationship Id="rId32" Type="http://schemas.openxmlformats.org/officeDocument/2006/relationships/hyperlink" Target="../../../../../../../../Documents%20and%20Settings/vzl77v/Desktop/PLM%20Junk/Product/PCN_checklist_P400110.xls" TargetMode="External"/><Relationship Id="rId5" Type="http://schemas.openxmlformats.org/officeDocument/2006/relationships/hyperlink" Target="../../../../../../../../Documents%20and%20Settings/vzl77v/Desktop/GES%20Downloads/IMP33018360.xls" TargetMode="External"/><Relationship Id="rId15" Type="http://schemas.openxmlformats.org/officeDocument/2006/relationships/hyperlink" Target="../../../../../../../../Documents%20and%20Settings/vzl77v/Desktop/GES%20Downloads/IMP33020594.xls" TargetMode="External"/><Relationship Id="rId23" Type="http://schemas.openxmlformats.org/officeDocument/2006/relationships/hyperlink" Target="../../../../../../../../Documents%20and%20Settings/vzl77v/Desktop/GES%20Downloads/IMP33021803.xls" TargetMode="External"/><Relationship Id="rId28" Type="http://schemas.openxmlformats.org/officeDocument/2006/relationships/hyperlink" Target="../../../../../../../../Documents%20and%20Settings/vzl77v/Desktop/GES%20Downloads/IMP33024231.xls" TargetMode="External"/><Relationship Id="rId10" Type="http://schemas.openxmlformats.org/officeDocument/2006/relationships/hyperlink" Target="../../../../../../../../Documents%20and%20Settings/vzl77v/Desktop/GES%20Downloads/IMP33019215.xls" TargetMode="External"/><Relationship Id="rId19" Type="http://schemas.openxmlformats.org/officeDocument/2006/relationships/hyperlink" Target="../../../../../../../../Documents%20and%20Settings/vzl77v/Desktop/GES%20Downloads/IMP33021587.xls" TargetMode="External"/><Relationship Id="rId31" Type="http://schemas.openxmlformats.org/officeDocument/2006/relationships/hyperlink" Target="../../../../../../../../Documents%20and%20Settings/vzl77v/Desktop/GES%20Downloads/IMP33025903.xls" TargetMode="External"/><Relationship Id="rId4" Type="http://schemas.openxmlformats.org/officeDocument/2006/relationships/hyperlink" Target="../../../../../../../../Documents%20and%20Settings/vzl77v/Desktop/GES%20Downloads/IMP33018270.xls" TargetMode="External"/><Relationship Id="rId9" Type="http://schemas.openxmlformats.org/officeDocument/2006/relationships/hyperlink" Target="../../../../../../../../Documents%20and%20Settings/vzl77v/Desktop/GES%20Downloads/IMP33019183.xls" TargetMode="External"/><Relationship Id="rId14" Type="http://schemas.openxmlformats.org/officeDocument/2006/relationships/hyperlink" Target="../../../../../../../../Documents%20and%20Settings/vzl77v/Desktop/GES%20Downloads/IMP33020385.xls" TargetMode="External"/><Relationship Id="rId22" Type="http://schemas.openxmlformats.org/officeDocument/2006/relationships/hyperlink" Target="../../../../../../../../Documents%20and%20Settings/vzl77v/Desktop/GES%20Downloads/IMP33021799.xls" TargetMode="External"/><Relationship Id="rId27" Type="http://schemas.openxmlformats.org/officeDocument/2006/relationships/hyperlink" Target="../../../../../../../../Documents%20and%20Settings/vzl77v/Desktop/GES%20Downloads/IMP33023487.xls" TargetMode="External"/><Relationship Id="rId30" Type="http://schemas.openxmlformats.org/officeDocument/2006/relationships/hyperlink" Target="../../../../../../../../Documents%20and%20Settings/vzl77v/Desktop/GES%20Downloads/IMP33025841.xls" TargetMode="External"/><Relationship Id="rId35"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6.xml.rels><?xml version="1.0" encoding="UTF-8" standalone="yes"?>
<Relationships xmlns="http://schemas.openxmlformats.org/package/2006/relationships"><Relationship Id="rId117"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248.xls" TargetMode="External"/><Relationship Id="rId299" Type="http://schemas.openxmlformats.org/officeDocument/2006/relationships/hyperlink" Target="../../../../../../../../Documents%20and%20Settings/vzl77v/Desktop/GES%20Downloads/IMP33019176.xls" TargetMode="External"/><Relationship Id="rId303" Type="http://schemas.openxmlformats.org/officeDocument/2006/relationships/hyperlink" Target="../../../../../../../../Documents%20and%20Settings/vzl77v/Desktop/GES%20Downloads/IMP33024127.xls" TargetMode="External"/><Relationship Id="rId21" Type="http://schemas.openxmlformats.org/officeDocument/2006/relationships/hyperlink" Target="http://misagweb01.nexteer.com/eRoomReq/Files/erooms4/Application%20Data/eRoom/eRoom%20Client/Application%20Data/eRoom/eRoom%20Client/V7/Plant%20CN's%20Copied%20Out/1132%20checklist%20for%201080579692.xls" TargetMode="External"/><Relationship Id="rId42" Type="http://schemas.openxmlformats.org/officeDocument/2006/relationships/hyperlink" Target="http://misagweb01.nexteer.com/eRoomReq/Files/erooms4/Application%20Data/eRoom/eRoom%20Client/Application%20Data/eRoom/eRoom%20Client/V7/Plant%20CN's%20Copied%20Out/1132%20checklist%20for%201080579707.xls" TargetMode="External"/><Relationship Id="rId63"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823.xls" TargetMode="External"/><Relationship Id="rId84"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3219.xls" TargetMode="External"/><Relationship Id="rId138" Type="http://schemas.openxmlformats.org/officeDocument/2006/relationships/hyperlink" Target="../../../../../../../../Documents%20and%20Settings/vzl77v/Desktop/GES%20Downloads/IMP33018885.xls" TargetMode="External"/><Relationship Id="rId159" Type="http://schemas.openxmlformats.org/officeDocument/2006/relationships/hyperlink" Target="../../../../../../../../Documents%20and%20Settings/vzl77v/Desktop/GES%20Downloads/IMP33017884.xls" TargetMode="External"/><Relationship Id="rId170" Type="http://schemas.openxmlformats.org/officeDocument/2006/relationships/hyperlink" Target="http://misagweb01.nexteer.com/eRoomReq/Files/erooms4/Application%20Data/eRoom/eRoom%20Client/Application%20Data/eRoom/eRoom%20Client/V7/Plant%20CN's%20Copied%20Out/1132%20checklist%20for%201080579403.xls" TargetMode="External"/><Relationship Id="rId191" Type="http://schemas.openxmlformats.org/officeDocument/2006/relationships/hyperlink" Target="../../../../../../../../Documents%20and%20Settings/vzl77v/Desktop/GES%20Downloads/IMP33019088.xls" TargetMode="External"/><Relationship Id="rId205" Type="http://schemas.openxmlformats.org/officeDocument/2006/relationships/hyperlink" Target="../../../../../../../../Documents%20and%20Settings/vzl77v/Desktop/GES%20Downloads/IMP33020862.xls" TargetMode="External"/><Relationship Id="rId226" Type="http://schemas.openxmlformats.org/officeDocument/2006/relationships/hyperlink" Target="../../../../../../../../Documents%20and%20Settings/vzl77v/Desktop/GES%20Downloads/IMP33021339.xls" TargetMode="External"/><Relationship Id="rId247"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2789.xls" TargetMode="External"/><Relationship Id="rId107" Type="http://schemas.openxmlformats.org/officeDocument/2006/relationships/hyperlink" Target="../My%20Documents/My%20Documents/My%20Documents/Downloads/GES%20Downloads/IMP33016891.xls" TargetMode="External"/><Relationship Id="rId268" Type="http://schemas.openxmlformats.org/officeDocument/2006/relationships/hyperlink" Target="../../../../../../../../Documents%20and%20Settings/vzl77v/Desktop/GES%20Downloads/IMP33022660.xls" TargetMode="External"/><Relationship Id="rId289" Type="http://schemas.openxmlformats.org/officeDocument/2006/relationships/hyperlink" Target="../../../../../../../../Documents%20and%20Settings/vzl77v/Desktop/GES%20Downloads/IMP33025294.xls" TargetMode="External"/><Relationship Id="rId11" Type="http://schemas.openxmlformats.org/officeDocument/2006/relationships/hyperlink" Target="http://misagweb01.nexteer.com/eRoomReq/Files/erooms4/Application%20Data/eRoom/eRoom%20Client/Application%20Data/eRoom/eRoom%20Client/V7/Plant%20CN's%20Copied%20Out/1132%20checklist%20for%201080578900.xls" TargetMode="External"/><Relationship Id="rId32" Type="http://schemas.openxmlformats.org/officeDocument/2006/relationships/hyperlink" Target="http://misagweb01.nexteer.com/eRoomReq/Files/erooms4/Application%20Data/eRoom/eRoom%20Client/Application%20Data/eRoom/eRoom%20Client/V7/Plant%20CN's%20Copied%20Out/1132%20checklist%20for%201080579330.xls" TargetMode="External"/><Relationship Id="rId53" Type="http://schemas.openxmlformats.org/officeDocument/2006/relationships/hyperlink" Target="http://misagweb01.nexteer.com/eRoomReq/Files/erooms4/Application%20Data/eRoom/eRoom%20Client/Application%20Data/eRoom/eRoom%20Client/V7/Plant%20CN's%20Copied%20Out/1132%20checklist%20for%201080579136.xls" TargetMode="External"/><Relationship Id="rId74"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0443.xls" TargetMode="External"/><Relationship Id="rId128" Type="http://schemas.openxmlformats.org/officeDocument/2006/relationships/hyperlink" Target="../../../../../../../../Documents%20and%20Settings/vzl77v/Desktop/GES%20Downloads/IMP33018463.xls" TargetMode="External"/><Relationship Id="rId149" Type="http://schemas.openxmlformats.org/officeDocument/2006/relationships/hyperlink" Target="http://misagweb01.nexteer.com/eRoomReq/Files/erooms4/ECN/GES%20Downloads/1132%20checklist%20for%201080580073.xls" TargetMode="External"/><Relationship Id="rId314" Type="http://schemas.openxmlformats.org/officeDocument/2006/relationships/hyperlink" Target="../../../../../../../../Documents%20and%20Settings/vzl77v/Desktop/GES%20Downloads/IMP33024223.xls" TargetMode="External"/><Relationship Id="rId5" Type="http://schemas.openxmlformats.org/officeDocument/2006/relationships/hyperlink" Target="http://misagweb01.nexteer.com/eRoomReq/Files/erooms4/Application%20Data/eRoom/eRoom%20Client/Application%20Data/eRoom/eRoom%20Client/V7/Plant%20CN's%20Copied%20Out/1132%20checklist%20for%201080579336.xls" TargetMode="External"/><Relationship Id="rId95"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3198.xls" TargetMode="External"/><Relationship Id="rId160" Type="http://schemas.openxmlformats.org/officeDocument/2006/relationships/hyperlink" Target="../../../../../../../../Documents%20and%20Settings/vzl77v/Desktop/GES%20Downloads/IMP33018048.xls" TargetMode="External"/><Relationship Id="rId181" Type="http://schemas.openxmlformats.org/officeDocument/2006/relationships/hyperlink" Target="../../../../../../../../Documents%20and%20Settings/vzl77v/Desktop/GES%20Downloads/IMP33018613.xls" TargetMode="External"/><Relationship Id="rId216" Type="http://schemas.openxmlformats.org/officeDocument/2006/relationships/hyperlink" Target="../../../../../../../../Documents%20and%20Settings/vzl77v/Desktop/GES%20Downloads/IMP33018216.xls" TargetMode="External"/><Relationship Id="rId237" Type="http://schemas.openxmlformats.org/officeDocument/2006/relationships/hyperlink" Target="../../../../../../../../Documents%20and%20Settings/vzl77v/Desktop/GES%20Downloads/IMP33020314.xls" TargetMode="External"/><Relationship Id="rId258" Type="http://schemas.openxmlformats.org/officeDocument/2006/relationships/hyperlink" Target="../../../../../../../../Documents%20and%20Settings/vzl77v/Desktop/GES%20Downloads/IMP33023671.xls" TargetMode="External"/><Relationship Id="rId279" Type="http://schemas.openxmlformats.org/officeDocument/2006/relationships/hyperlink" Target="../../../../../../../../Documents%20and%20Settings/vzl77v/Desktop/GES%20Downloads/IMP33019458.xls" TargetMode="External"/><Relationship Id="rId22" Type="http://schemas.openxmlformats.org/officeDocument/2006/relationships/hyperlink" Target="http://misagweb01.nexteer.com/eRoomReq/Files/erooms4/Application%20Data/eRoom/eRoom%20Client/Application%20Data/eRoom/eRoom%20Client/V7/Plant%20CN's%20Copied%20Out/1132%20checklist%20for%201080579698.xls" TargetMode="External"/><Relationship Id="rId43" Type="http://schemas.openxmlformats.org/officeDocument/2006/relationships/hyperlink" Target="http://misagweb01.nexteer.com/eRoomReq/Files/erooms4/ECN/GES%20Downloads/1132%20checklist%20for%201080580209.xls" TargetMode="External"/><Relationship Id="rId64"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0796.xls" TargetMode="External"/><Relationship Id="rId118" Type="http://schemas.openxmlformats.org/officeDocument/2006/relationships/hyperlink" Target="../../../../Desktop/GES%20Downloads/IMP33009821.xls" TargetMode="External"/><Relationship Id="rId139" Type="http://schemas.openxmlformats.org/officeDocument/2006/relationships/hyperlink" Target="../../../../../../../../Documents%20and%20Settings/vzl77v/Desktop/GES%20Downloads/IMP33019310.xls" TargetMode="External"/><Relationship Id="rId290" Type="http://schemas.openxmlformats.org/officeDocument/2006/relationships/hyperlink" Target="../../../../../../../../Documents%20and%20Settings/vzl77v/Desktop/GES%20Downloads/IMP33022730.xls" TargetMode="External"/><Relationship Id="rId304" Type="http://schemas.openxmlformats.org/officeDocument/2006/relationships/hyperlink" Target="../../../../../../../../Documents%20and%20Settings/vzl77v/Desktop/GES%20Downloads/IMP33024149.xls" TargetMode="External"/><Relationship Id="rId85"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370.xls" TargetMode="External"/><Relationship Id="rId150"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871.xls" TargetMode="External"/><Relationship Id="rId171"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3648.xls" TargetMode="External"/><Relationship Id="rId192" Type="http://schemas.openxmlformats.org/officeDocument/2006/relationships/hyperlink" Target="../../../../../../../../Documents%20and%20Settings/vzl77v/Desktop/GES%20Downloads/IMP33019251.xls" TargetMode="External"/><Relationship Id="rId206" Type="http://schemas.openxmlformats.org/officeDocument/2006/relationships/hyperlink" Target="../../../../../../../../Documents%20and%20Settings/vzl77v/Desktop/GES%20Downloads/IMP33021050.xls" TargetMode="External"/><Relationship Id="rId227" Type="http://schemas.openxmlformats.org/officeDocument/2006/relationships/hyperlink" Target="../../../../../../../../Documents%20and%20Settings/vzl77v/Desktop/GES%20Downloads/IMP33021550.xls" TargetMode="External"/><Relationship Id="rId248"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2924.xls" TargetMode="External"/><Relationship Id="rId269" Type="http://schemas.openxmlformats.org/officeDocument/2006/relationships/hyperlink" Target="../../../../../../../../Documents%20and%20Settings/vzl77v/Desktop/GES%20Downloads/IMP33022797.xls" TargetMode="External"/><Relationship Id="rId12" Type="http://schemas.openxmlformats.org/officeDocument/2006/relationships/hyperlink" Target="http://misagweb01.nexteer.com/eRoomReq/Files/erooms4/Application%20Data/eRoom/eRoom%20Client/Application%20Data/eRoom/eRoom%20Client/V7/Plant%20CN's%20Copied%20Out/1132%20checklist%20for%201080579333.xls" TargetMode="External"/><Relationship Id="rId33" Type="http://schemas.openxmlformats.org/officeDocument/2006/relationships/hyperlink" Target="http://misagweb01.nexteer.com/eRoomReq/Files/erooms4/Application%20Data/eRoom/eRoom%20Client/Application%20Data/eRoom/eRoom%20Client/V7/Plant%20CN's%20Copied%20Out/1132%20checklist%20for%201080579583.xls" TargetMode="External"/><Relationship Id="rId108" Type="http://schemas.openxmlformats.org/officeDocument/2006/relationships/hyperlink" Target="http://misagweb01.nexteer.com/eRoomReq/Files/erooms4/Application%20Data/eRoom/eRoom%20Client/Application%20Data/eRoom/eRoom%20Client/V7/Plant%20CN's%20Copied%20Out/1132%20checklist%20for%201080579627.xls" TargetMode="External"/><Relationship Id="rId129" Type="http://schemas.openxmlformats.org/officeDocument/2006/relationships/hyperlink" Target="../../../../../../../../Documents%20and%20Settings/vzl77v/Desktop/GES%20Downloads/IMP33018738.xls" TargetMode="External"/><Relationship Id="rId280" Type="http://schemas.openxmlformats.org/officeDocument/2006/relationships/hyperlink" Target="../../../../../../../../Documents%20and%20Settings/vzl77v/Desktop/GES%20Downloads/IMP33020749.xls" TargetMode="External"/><Relationship Id="rId315" Type="http://schemas.openxmlformats.org/officeDocument/2006/relationships/hyperlink" Target="../../../../../../../../Documents%20and%20Settings/vzl77v/Desktop/GES%20Downloads/IMP33021800.xls" TargetMode="External"/><Relationship Id="rId54" Type="http://schemas.openxmlformats.org/officeDocument/2006/relationships/hyperlink" Target="http://misagweb01.nexteer.com/eRoomReq/Files/erooms4/Application%20Data/eRoom/eRoom%20Client/Application%20Data/eRoom/eRoom%20Client/V7/Plant%20CN's%20Copied%20Out/1132%20checklist%20for%201080578706.xls" TargetMode="External"/><Relationship Id="rId75"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0795.xls" TargetMode="External"/><Relationship Id="rId96"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626.xls" TargetMode="External"/><Relationship Id="rId140" Type="http://schemas.openxmlformats.org/officeDocument/2006/relationships/hyperlink" Target="../../../../../../../../Documents%20and%20Settings/vzl77v/Desktop/GES%20Downloads/IMP33018462.xls" TargetMode="External"/><Relationship Id="rId161" Type="http://schemas.openxmlformats.org/officeDocument/2006/relationships/hyperlink" Target="../../../../../../../../Documents%20and%20Settings/vzl77v/Desktop/GES%20Downloads/IMP33018093.xls" TargetMode="External"/><Relationship Id="rId182" Type="http://schemas.openxmlformats.org/officeDocument/2006/relationships/hyperlink" Target="../../../../../../../../Documents%20and%20Settings/vzl77v/Desktop/GES%20Downloads/IMP33018182.xls" TargetMode="External"/><Relationship Id="rId217" Type="http://schemas.openxmlformats.org/officeDocument/2006/relationships/hyperlink" Target="../../../../../../../../Documents%20and%20Settings/vzl77v/Desktop/GES%20Downloads/IMP33018707.xls" TargetMode="External"/><Relationship Id="rId6" Type="http://schemas.openxmlformats.org/officeDocument/2006/relationships/hyperlink" Target="http://misagweb01.nexteer.com/eRoomReq/Files/erooms4/Application%20Data/eRoom/eRoom%20Client/Application%20Data/eRoom/eRoom%20Client/V7/Plant%20CN's%20Copied%20Out/1132%20checklist%20for%201080579142.xls" TargetMode="External"/><Relationship Id="rId238" Type="http://schemas.openxmlformats.org/officeDocument/2006/relationships/hyperlink" Target="../../../../../../../../Documents%20and%20Settings/vzl77v/Desktop/GES%20Downloads/IMP33021336.xls" TargetMode="External"/><Relationship Id="rId259"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3042.xls" TargetMode="External"/><Relationship Id="rId23" Type="http://schemas.openxmlformats.org/officeDocument/2006/relationships/hyperlink" Target="http://misagweb01.nexteer.com/eRoomReq/Files/erooms4/Application%20Data/eRoom/eRoom%20Client/Application%20Data/eRoom/eRoom%20Client/V7/Plant%20CN's%20Copied%20Out/1132%20checklist%20for%201080579580.xls" TargetMode="External"/><Relationship Id="rId119"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2170.xls" TargetMode="External"/><Relationship Id="rId270" Type="http://schemas.openxmlformats.org/officeDocument/2006/relationships/hyperlink" Target="../../../../../../../../Documents%20and%20Settings/vzl77v/Desktop/GES%20Downloads/IMP33023173.xls" TargetMode="External"/><Relationship Id="rId291" Type="http://schemas.openxmlformats.org/officeDocument/2006/relationships/hyperlink" Target="../../../../../../../../Documents%20and%20Settings/vzl77v/Desktop/GES%20Downloads/IMP33023885.xls" TargetMode="External"/><Relationship Id="rId305" Type="http://schemas.openxmlformats.org/officeDocument/2006/relationships/hyperlink" Target="../../../../../../../../Documents%20and%20Settings/vzl77v/Desktop/GES%20Downloads/IMP33024999.xls" TargetMode="External"/><Relationship Id="rId44" Type="http://schemas.openxmlformats.org/officeDocument/2006/relationships/hyperlink" Target="http://misagweb01.nexteer.com/eRoomReq/Files/erooms4/ECN/GES%20Downloads/1132%20checklist%20for%201080579962.xls" TargetMode="External"/><Relationship Id="rId65" Type="http://schemas.openxmlformats.org/officeDocument/2006/relationships/hyperlink" Target="http://misagweb01.nexteer.com/eRoomReq/Files/erooms4/ECN/GES%20Downloads/1132%20checklist%20for%201080579989.xls" TargetMode="External"/><Relationship Id="rId86"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0566.xls" TargetMode="External"/><Relationship Id="rId130" Type="http://schemas.openxmlformats.org/officeDocument/2006/relationships/hyperlink" Target="../../../../../../../../Documents%20and%20Settings/vzl77v/Desktop/GES%20Downloads/IMP33019268.xls" TargetMode="External"/><Relationship Id="rId151"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856.xls" TargetMode="External"/><Relationship Id="rId172" Type="http://schemas.openxmlformats.org/officeDocument/2006/relationships/hyperlink" Target="../../../../Desktop/GES%20Downloads/IMP33017143.xls" TargetMode="External"/><Relationship Id="rId193" Type="http://schemas.openxmlformats.org/officeDocument/2006/relationships/hyperlink" Target="../../../../../../../../Documents%20and%20Settings/vzl77v/Desktop/GES%20Downloads/IMP33020750.xls" TargetMode="External"/><Relationship Id="rId207"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938.xls" TargetMode="External"/><Relationship Id="rId228" Type="http://schemas.openxmlformats.org/officeDocument/2006/relationships/hyperlink" Target="../../../../../../../../Documents%20and%20Settings/vzl77v/Desktop/GES%20Downloads/IMP33021610.xls" TargetMode="External"/><Relationship Id="rId249" Type="http://schemas.openxmlformats.org/officeDocument/2006/relationships/hyperlink" Target="../../../../../../../../Documents%20and%20Settings/vzl77v/Desktop/GES%20Downloads/IMP33021798.xls" TargetMode="External"/><Relationship Id="rId13" Type="http://schemas.openxmlformats.org/officeDocument/2006/relationships/hyperlink" Target="http://misagweb01.nexteer.com/eRoomReq/Files/erooms4/Application%20Data/eRoom/eRoom%20Client/Application%20Data/eRoom/eRoom%20Client/V7/Plant%20CN's%20Copied%20Out/1132%20checklist%20for%201080579295.xls" TargetMode="External"/><Relationship Id="rId109"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3362.xls" TargetMode="External"/><Relationship Id="rId260" Type="http://schemas.openxmlformats.org/officeDocument/2006/relationships/hyperlink" Target="../../../../../../../../Documents%20and%20Settings/vzl77v/Desktop/GES%20Downloads/IMP33017993.xls" TargetMode="External"/><Relationship Id="rId281" Type="http://schemas.openxmlformats.org/officeDocument/2006/relationships/hyperlink" Target="../../../../../../../../Documents%20and%20Settings/vzl77v/Desktop/GES%20Downloads/IMP33021785.xls" TargetMode="External"/><Relationship Id="rId316" Type="http://schemas.openxmlformats.org/officeDocument/2006/relationships/hyperlink" Target="../../../../../../../../Documents%20and%20Settings/vzl77v/Desktop/GES%20Downloads/IMP33024777.xls" TargetMode="External"/><Relationship Id="rId34" Type="http://schemas.openxmlformats.org/officeDocument/2006/relationships/hyperlink" Target="http://misagweb01.nexteer.com/eRoomReq/Files/erooms4/Application%20Data/eRoom/eRoom%20Client/Application%20Data/eRoom/eRoom%20Client/V7/Plant%20CN's%20Copied%20Out/1132%20checklist%20for%201080579720.xls" TargetMode="External"/><Relationship Id="rId55" Type="http://schemas.openxmlformats.org/officeDocument/2006/relationships/hyperlink" Target="http://misagweb01.nexteer.com/eRoomReq/Files/erooms4/Application%20Data/eRoom/eRoom%20Client/Application%20Data/eRoom/eRoom%20Client/V7/Plant%20CN's%20Copied%20Out/1132%20checklist%20for%201080578707.xls" TargetMode="External"/><Relationship Id="rId76"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261.xls" TargetMode="External"/><Relationship Id="rId97" Type="http://schemas.openxmlformats.org/officeDocument/2006/relationships/hyperlink" Target="GES%20Downloads/IMP33017030.xls" TargetMode="External"/><Relationship Id="rId120"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475.xls" TargetMode="External"/><Relationship Id="rId141"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0819.xls" TargetMode="External"/><Relationship Id="rId7" Type="http://schemas.openxmlformats.org/officeDocument/2006/relationships/hyperlink" Target="http://misagweb01.nexteer.com/eRoomReq/Files/erooms4/Application%20Data/eRoom/eRoom%20Client/Application%20Data/eRoom/eRoom%20Client/V7/Plant%20CN's%20Copied%20Out/1132%20checklist%20for%201080578887.xls" TargetMode="External"/><Relationship Id="rId162" Type="http://schemas.openxmlformats.org/officeDocument/2006/relationships/hyperlink" Target="../../../../../../../../Documents%20and%20Settings/vzl77v/Desktop/GES%20Downloads/IMP33018634.xls" TargetMode="External"/><Relationship Id="rId183" Type="http://schemas.openxmlformats.org/officeDocument/2006/relationships/hyperlink" Target="../../../../../../../../Documents%20and%20Settings/vzl77v/Desktop/GES%20Downloads/IMP33018559.xls" TargetMode="External"/><Relationship Id="rId218" Type="http://schemas.openxmlformats.org/officeDocument/2006/relationships/hyperlink" Target="../../../../../../../../Documents%20and%20Settings/vzl77v/Desktop/GES%20Downloads/IMP33022063.xls" TargetMode="External"/><Relationship Id="rId239" Type="http://schemas.openxmlformats.org/officeDocument/2006/relationships/hyperlink" Target="../../../../../../../../Documents%20and%20Settings/vzl77v/Desktop/GES%20Downloads/IMP33021792.xls" TargetMode="External"/><Relationship Id="rId250"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422.xls" TargetMode="External"/><Relationship Id="rId271" Type="http://schemas.openxmlformats.org/officeDocument/2006/relationships/hyperlink" Target="../../../../../../../../Documents%20and%20Settings/vzl77v/Desktop/GES%20Downloads/IMP33023566.xls" TargetMode="External"/><Relationship Id="rId292" Type="http://schemas.openxmlformats.org/officeDocument/2006/relationships/hyperlink" Target="../../../../../../../../Documents%20and%20Settings/vzl77v/Desktop/GES%20Downloads/IMP33024276.xls" TargetMode="External"/><Relationship Id="rId306" Type="http://schemas.openxmlformats.org/officeDocument/2006/relationships/hyperlink" Target="../../../../../../../../Documents%20and%20Settings/vzl77v/Desktop/GES%20Downloads/IMP33025575.xls" TargetMode="External"/><Relationship Id="rId24" Type="http://schemas.openxmlformats.org/officeDocument/2006/relationships/hyperlink" Target="http://misagweb01.nexteer.com/eRoomReq/Files/erooms4/Application%20Data/eRoom/eRoom%20Client/Application%20Data/eRoom/eRoom%20Client/V7/Plant%20CN's%20Copied%20Out/1132%20checklist%20for%201080578427.xls" TargetMode="External"/><Relationship Id="rId45" Type="http://schemas.openxmlformats.org/officeDocument/2006/relationships/hyperlink" Target="http://misagweb01.nexteer.com/eRoomReq/Files/erooms4/Application%20Data/eRoom/eRoom%20Client/Application%20Data/eRoom/eRoom%20Client/V7/Plant%20CN's%20Copied%20Out/1132%20checklist%20for%201080578187.xls" TargetMode="External"/><Relationship Id="rId66"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8935.xls" TargetMode="External"/><Relationship Id="rId87"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2905.xls" TargetMode="External"/><Relationship Id="rId110" Type="http://schemas.openxmlformats.org/officeDocument/2006/relationships/hyperlink" Target="http://misagweb01.nexteer.com/eRoomReq/Files/erooms4/Application%20Data/eRoom/eRoom%20Client/Application%20Data/eRoom/eRoom%20Client/V7/Plant%20CN's%20Copied%20Out/1132%20checklist%20for%201080578750.xls" TargetMode="External"/><Relationship Id="rId131"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353.xls" TargetMode="External"/><Relationship Id="rId152"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2068.xls" TargetMode="External"/><Relationship Id="rId173" Type="http://schemas.openxmlformats.org/officeDocument/2006/relationships/hyperlink" Target="../../../../../../../../Documents%20and%20Settings/vzl77v/Desktop/GES%20Downloads/IMP33019312.xls" TargetMode="External"/><Relationship Id="rId194" Type="http://schemas.openxmlformats.org/officeDocument/2006/relationships/hyperlink" Target="../../../../../../../../Documents%20and%20Settings/vzl77v/Desktop/GES%20Downloads/IMP33021053.xls" TargetMode="External"/><Relationship Id="rId208"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724.xls" TargetMode="External"/><Relationship Id="rId229" Type="http://schemas.openxmlformats.org/officeDocument/2006/relationships/hyperlink" Target="../../../../../../../../Documents%20and%20Settings/vzl77v/Desktop/GES%20Downloads/IMP33020336.xls" TargetMode="External"/><Relationship Id="rId19" Type="http://schemas.openxmlformats.org/officeDocument/2006/relationships/hyperlink" Target="http://misagweb01.nexteer.com/eRoomReq/Files/erooms4/Application%20Data/eRoom/eRoom%20Client/Application%20Data/eRoom/eRoom%20Client/V7/Plant%20CN's%20Copied%20Out/1132%20checklist%20for%201080579517.xls" TargetMode="External"/><Relationship Id="rId224"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2609.xls" TargetMode="External"/><Relationship Id="rId240" Type="http://schemas.openxmlformats.org/officeDocument/2006/relationships/hyperlink" Target="../../../../../../../../Documents%20and%20Settings/vzl77v/Desktop/GES%20Downloads/IMP33022518.xls" TargetMode="External"/><Relationship Id="rId245" Type="http://schemas.openxmlformats.org/officeDocument/2006/relationships/hyperlink" Target="../../../../../../../../Documents%20and%20Settings/vzl77v/Desktop/GES%20Downloads/IMP33022689.xls" TargetMode="External"/><Relationship Id="rId261" Type="http://schemas.openxmlformats.org/officeDocument/2006/relationships/hyperlink" Target="../../../../../../../../Documents%20and%20Settings/vzl77v/Desktop/GES%20Downloads/IMP33023257.xls" TargetMode="External"/><Relationship Id="rId266" Type="http://schemas.openxmlformats.org/officeDocument/2006/relationships/hyperlink" Target="../../../../../../../../Documents%20and%20Settings/vzl77v/Desktop/GES%20Downloads/IMP33022517.xls" TargetMode="External"/><Relationship Id="rId287" Type="http://schemas.openxmlformats.org/officeDocument/2006/relationships/hyperlink" Target="../../../../../../../../Documents%20and%20Settings/vzl77v/Desktop/GES%20Downloads/IMP33024447.xls" TargetMode="External"/><Relationship Id="rId14" Type="http://schemas.openxmlformats.org/officeDocument/2006/relationships/hyperlink" Target="http://misagweb01.nexteer.com/eRoomReq/Files/erooms4/Application%20Data/eRoom/eRoom%20Client/Application%20Data/eRoom/eRoom%20Client/V7/Plant%20CN's%20Copied%20Out/1132%20checklist%20for%201080579031.xls" TargetMode="External"/><Relationship Id="rId30" Type="http://schemas.openxmlformats.org/officeDocument/2006/relationships/hyperlink" Target="http://misagweb01.nexteer.com/eRoomReq/Files/erooms4/Application%20Data/eRoom/eRoom%20Client/Application%20Data/eRoom/eRoom%20Client/V7/Plant%20CN's%20Copied%20Out/1132%20checklist%20for%201080579040.xls" TargetMode="External"/><Relationship Id="rId35" Type="http://schemas.openxmlformats.org/officeDocument/2006/relationships/hyperlink" Target="http://misagweb01.nexteer.com/eRoomReq/Files/erooms4/Application%20Data/eRoom/eRoom%20Client/Application%20Data/eRoom/eRoom%20Client/V7/Plant%20CN's%20Copied%20Out/1132%20checklist%20for%201080578431.xls" TargetMode="External"/><Relationship Id="rId56" Type="http://schemas.openxmlformats.org/officeDocument/2006/relationships/hyperlink" Target="http://misagweb01.nexteer.com/eRoomReq/Files/erooms4/Application%20Data/eRoom/eRoom%20Client/Application%20Data/eRoom/eRoom%20Client/V7/Plant%20CN's%20Copied%20Out/1132%20checklist%20for%201080579138.xls" TargetMode="External"/><Relationship Id="rId77"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967.xls" TargetMode="External"/><Relationship Id="rId100" Type="http://schemas.openxmlformats.org/officeDocument/2006/relationships/hyperlink" Target="../../../../Desktop/GES%20Downloads/IMP33017103.xls" TargetMode="External"/><Relationship Id="rId105"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424.xls" TargetMode="External"/><Relationship Id="rId126" Type="http://schemas.openxmlformats.org/officeDocument/2006/relationships/hyperlink" Target="../../../../../../../Documents%20and%20Settings/vzl77v/Desktop/GES%20Downloads/IMP33017292.xls" TargetMode="External"/><Relationship Id="rId147" Type="http://schemas.openxmlformats.org/officeDocument/2006/relationships/hyperlink" Target="../../../../../../../../Documents%20and%20Settings/vzl77v/Desktop/GES%20Downloads/IMP33018464.xls" TargetMode="External"/><Relationship Id="rId168" Type="http://schemas.openxmlformats.org/officeDocument/2006/relationships/hyperlink" Target="../../../../../../../Documents%20and%20Settings/vzl77v/Desktop/GES%20Downloads/IMP33017413.xls" TargetMode="External"/><Relationship Id="rId282" Type="http://schemas.openxmlformats.org/officeDocument/2006/relationships/hyperlink" Target="../../../../../../../../Documents%20and%20Settings/vzl77v/Desktop/GES%20Downloads/IMP33022661.xls" TargetMode="External"/><Relationship Id="rId312" Type="http://schemas.openxmlformats.org/officeDocument/2006/relationships/hyperlink" Target="../../../../../../../../Documents%20and%20Settings/vzl77v/Desktop/GES%20Downloads/IMP33022663.xls" TargetMode="External"/><Relationship Id="rId317" Type="http://schemas.openxmlformats.org/officeDocument/2006/relationships/printerSettings" Target="../printerSettings/printerSettings13.bin"/><Relationship Id="rId8" Type="http://schemas.openxmlformats.org/officeDocument/2006/relationships/hyperlink" Target="http://misagweb01.nexteer.com/eRoomReq/Files/erooms4/Application%20Data/eRoom/eRoom%20Client/Application%20Data/eRoom/eRoom%20Client/V7/Plant%20CN's%20Copied%20Out/1132%20checklist%20for%201080579251.xls" TargetMode="External"/><Relationship Id="rId51" Type="http://schemas.openxmlformats.org/officeDocument/2006/relationships/hyperlink" Target="http://misagweb01.nexteer.com/eRoomReq/Files/erooms4/ECN/GES%20Downloads/1132%20checklist%20for%201080580062.xls" TargetMode="External"/><Relationship Id="rId72" Type="http://schemas.openxmlformats.org/officeDocument/2006/relationships/hyperlink" Target="http://misagweb01.nexteer.com/eRoomReq/Files/erooms4/Application%20Data/eRoom/eRoom%20Client/Application%20Data/eRoom/eRoom%20Client/V7/Plant%20CN's%20Copied%20Out/1132%20checklist%20for%201080578526.xls" TargetMode="External"/><Relationship Id="rId93"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880.xls" TargetMode="External"/><Relationship Id="rId98" Type="http://schemas.openxmlformats.org/officeDocument/2006/relationships/hyperlink" Target="../My%20Documents/My%20Documents/My%20Documents/Downloads/GES%20Downloads/IMP33016796.xls" TargetMode="External"/><Relationship Id="rId121" Type="http://schemas.openxmlformats.org/officeDocument/2006/relationships/hyperlink" Target="../../../../../../../Documents%20and%20Settings/vzl77v/Desktop/GES%20Downloads/IMP33017294.xls" TargetMode="External"/><Relationship Id="rId142" Type="http://schemas.openxmlformats.org/officeDocument/2006/relationships/hyperlink" Target="../../../../../../../../Documents%20and%20Settings/vzl77v/Desktop/GES%20Downloads/IMP33018484.xls" TargetMode="External"/><Relationship Id="rId163" Type="http://schemas.openxmlformats.org/officeDocument/2006/relationships/hyperlink" Target="../../../../../../../../Documents%20and%20Settings/vzl77v/Desktop/GES%20Downloads/IMP33018937.xls" TargetMode="External"/><Relationship Id="rId184" Type="http://schemas.openxmlformats.org/officeDocument/2006/relationships/hyperlink" Target="../../../../../../../../Documents%20and%20Settings/vzl77v/Desktop/GES%20Downloads/IMP33018748.xls" TargetMode="External"/><Relationship Id="rId189" Type="http://schemas.openxmlformats.org/officeDocument/2006/relationships/hyperlink" Target="../../../../../../../../Documents%20and%20Settings/vzl77v/Desktop/GES%20Downloads/IMP33019575.xls" TargetMode="External"/><Relationship Id="rId219" Type="http://schemas.openxmlformats.org/officeDocument/2006/relationships/hyperlink" Target="../../../../../../../../Documents%20and%20Settings/vzl77v/Desktop/GES%20Downloads/IMP33022355.xls" TargetMode="External"/><Relationship Id="rId3" Type="http://schemas.openxmlformats.org/officeDocument/2006/relationships/hyperlink" Target="http://misagweb01.nexteer.com/eRoomReq/Files/erooms4/Application%20Data/eRoom/eRoom%20Client/Application%20Data/eRoom/eRoom%20Client/V7/Plant%20CN's%20Copied%20Out/1132%20checklist%20for%201080579143.xls" TargetMode="External"/><Relationship Id="rId214"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3757.xls" TargetMode="External"/><Relationship Id="rId230" Type="http://schemas.openxmlformats.org/officeDocument/2006/relationships/hyperlink" Target="../../../../../../../../Documents%20and%20Settings/vzl77v/Desktop/GES%20Downloads/IMP33020744.xls" TargetMode="External"/><Relationship Id="rId235" Type="http://schemas.openxmlformats.org/officeDocument/2006/relationships/hyperlink" Target="../../../../../../../../Documents%20and%20Settings/vzl77v/Desktop/GES%20Downloads/IMP33017500.xls" TargetMode="External"/><Relationship Id="rId251"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807.xls" TargetMode="External"/><Relationship Id="rId256" Type="http://schemas.openxmlformats.org/officeDocument/2006/relationships/hyperlink" Target="../../../../../../../../Documents%20and%20Settings/vzl77v/Desktop/GES%20Downloads/IMP33023121.xls" TargetMode="External"/><Relationship Id="rId277" Type="http://schemas.openxmlformats.org/officeDocument/2006/relationships/hyperlink" Target="../../../../../../../../Documents%20and%20Settings/vzl77v/Desktop/GES%20Downloads/IMP33018619.xls" TargetMode="External"/><Relationship Id="rId298" Type="http://schemas.openxmlformats.org/officeDocument/2006/relationships/hyperlink" Target="../../../../../../../../Documents%20and%20Settings/vzl77v/Desktop/GES%20Downloads/IMP33019175.xls" TargetMode="External"/><Relationship Id="rId25" Type="http://schemas.openxmlformats.org/officeDocument/2006/relationships/hyperlink" Target="http://misagweb01.nexteer.com/eRoomReq/Files/erooms4/Application%20Data/eRoom/eRoom%20Client/Application%20Data/eRoom/eRoom%20Client/V7/Plant%20CN's%20Copied%20Out/1132%20checklist%20for%201080578639.xls" TargetMode="External"/><Relationship Id="rId46" Type="http://schemas.openxmlformats.org/officeDocument/2006/relationships/hyperlink" Target="http://misagweb01.nexteer.com/eRoomReq/Files/erooms4/Application%20Data/eRoom/eRoom%20Client/Application%20Data/eRoom/eRoom%20Client/V7/Plant%20CN's%20Copied%20Out/1132%20checklist%20for%201080579700.xls" TargetMode="External"/><Relationship Id="rId67"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0444.xls" TargetMode="External"/><Relationship Id="rId116"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549.xls" TargetMode="External"/><Relationship Id="rId137" Type="http://schemas.openxmlformats.org/officeDocument/2006/relationships/hyperlink" Target="../../../../../../../../Documents%20and%20Settings/vzl77v/Desktop/GES%20Downloads/IMP33018875.xls" TargetMode="External"/><Relationship Id="rId158" Type="http://schemas.openxmlformats.org/officeDocument/2006/relationships/hyperlink" Target="../../../../../../../Documents%20and%20Settings/vzl77v/Desktop/GES%20Downloads/IMP33017295.xls" TargetMode="External"/><Relationship Id="rId272" Type="http://schemas.openxmlformats.org/officeDocument/2006/relationships/hyperlink" Target="../../../../../../../../Documents%20and%20Settings/vzl77v/Desktop/GES%20Downloads/IMP33023641.xls" TargetMode="External"/><Relationship Id="rId293" Type="http://schemas.openxmlformats.org/officeDocument/2006/relationships/hyperlink" Target="../../../../../../../../Documents%20and%20Settings/vzl77v/Desktop/GES%20Downloads/IMP33024281.xls" TargetMode="External"/><Relationship Id="rId302" Type="http://schemas.openxmlformats.org/officeDocument/2006/relationships/hyperlink" Target="../../../../../../../../Documents%20and%20Settings/vzl77v/Desktop/GES%20Downloads/IMP33023788.xls" TargetMode="External"/><Relationship Id="rId307" Type="http://schemas.openxmlformats.org/officeDocument/2006/relationships/hyperlink" Target="../../../../../../../../Documents%20and%20Settings/vzl77v/Desktop/GES%20Downloads/IMP33026023.xls" TargetMode="External"/><Relationship Id="rId20" Type="http://schemas.openxmlformats.org/officeDocument/2006/relationships/hyperlink" Target="http://misagweb01.nexteer.com/eRoomReq/Files/erooms4/Application%20Data/eRoom/eRoom%20Client/Application%20Data/eRoom/eRoom%20Client/V7/Plant%20CN's%20Copied%20Out/1132%20checklist%20for%201080579548.xls" TargetMode="External"/><Relationship Id="rId41" Type="http://schemas.openxmlformats.org/officeDocument/2006/relationships/hyperlink" Target="http://misagweb01.nexteer.com/eRoomReq/Files/erooms4/Application%20Data/eRoom/eRoom%20Client/Application%20Data/eRoom/eRoom%20Client/V7/Plant%20CN's%20Copied%20Out/1132%20checklist%20for%201080579694.xls" TargetMode="External"/><Relationship Id="rId62"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Downloads/GES%20Downloads/1132%20checklist%20for%201080580237.xls" TargetMode="External"/><Relationship Id="rId83"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265.xls" TargetMode="External"/><Relationship Id="rId88" Type="http://schemas.openxmlformats.org/officeDocument/2006/relationships/hyperlink" Target="http://misagweb01.nexteer.com/eRoomReq/Files/erooms4/Application%20Data/eRoom/eRoom%20Client/Application%20Data/eRoom/eRoom%20Client/V7/Plant%20CN's%20Copied%20Out/1132%20checklist%20for%201080579389.xls" TargetMode="External"/><Relationship Id="rId111" Type="http://schemas.openxmlformats.org/officeDocument/2006/relationships/hyperlink" Target="http://misagweb01.nexteer.com/eRoomReq/Files/erooms4/Application%20Data/eRoom/eRoom%20Client/Application%20Data/eRoom/eRoom%20Client/V7/Plant%20CN's%20Copied%20Out/1132%20checklist%20for%201080579405.xls" TargetMode="External"/><Relationship Id="rId132" Type="http://schemas.openxmlformats.org/officeDocument/2006/relationships/hyperlink" Target="../../../../../../../../Documents%20and%20Settings/vzl77v/Desktop/GES%20Downloads/IMP33017981.xls" TargetMode="External"/><Relationship Id="rId153"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3475.xls" TargetMode="External"/><Relationship Id="rId174" Type="http://schemas.openxmlformats.org/officeDocument/2006/relationships/hyperlink" Target="../../../../../../../../Documents%20and%20Settings/vzl77v/Desktop/GES%20Downloads/IMP33017623.xls" TargetMode="External"/><Relationship Id="rId179" Type="http://schemas.openxmlformats.org/officeDocument/2006/relationships/hyperlink" Target="../../../../../../../../Documents%20and%20Settings/vzl77v/Desktop/GES%20Downloads/IMP33019512.xls" TargetMode="External"/><Relationship Id="rId195" Type="http://schemas.openxmlformats.org/officeDocument/2006/relationships/hyperlink" Target="../../../../../../../../Documents%20and%20Settings/vzl77v/Desktop/GES%20Downloads/IMP33021542.xls" TargetMode="External"/><Relationship Id="rId209"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556.xls" TargetMode="External"/><Relationship Id="rId190" Type="http://schemas.openxmlformats.org/officeDocument/2006/relationships/hyperlink" Target="../../../../../../../../Documents%20and%20Settings/vzl77v/Desktop/GES%20Downloads/IMP33019078.xls" TargetMode="External"/><Relationship Id="rId204"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766.xls" TargetMode="External"/><Relationship Id="rId220" Type="http://schemas.openxmlformats.org/officeDocument/2006/relationships/hyperlink" Target="../../../../../../../../Documents%20and%20Settings/vzl77v/Desktop/GES%20Downloads/IMP33022356.xls" TargetMode="External"/><Relationship Id="rId225" Type="http://schemas.openxmlformats.org/officeDocument/2006/relationships/hyperlink" Target="../../../../../../../../Documents%20and%20Settings/vzl77v/Desktop/GES%20Downloads/IMP33020554.xls" TargetMode="External"/><Relationship Id="rId241" Type="http://schemas.openxmlformats.org/officeDocument/2006/relationships/hyperlink" Target="../../../../../../../../Documents%20and%20Settings/vzl77v/Desktop/GES%20Downloads/IMP33022566.xls" TargetMode="External"/><Relationship Id="rId246"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712.xls" TargetMode="External"/><Relationship Id="rId267" Type="http://schemas.openxmlformats.org/officeDocument/2006/relationships/hyperlink" Target="../../../../../../../../Documents%20and%20Settings/vzl77v/Desktop/GES%20Downloads/IMP33022562.xls" TargetMode="External"/><Relationship Id="rId288" Type="http://schemas.openxmlformats.org/officeDocument/2006/relationships/hyperlink" Target="../../../../../../../../Documents%20and%20Settings/vzl77v/Desktop/GES%20Downloads/IMP33024647.xls" TargetMode="External"/><Relationship Id="rId15" Type="http://schemas.openxmlformats.org/officeDocument/2006/relationships/hyperlink" Target="http://misagweb01.nexteer.com/eRoomReq/Files/erooms4/Application%20Data/eRoom/eRoom%20Client/Application%20Data/eRoom/eRoom%20Client/V7/Plant%20CN's%20Copied%20Out/1132%20checklist%20for%201080579585.xls" TargetMode="External"/><Relationship Id="rId36" Type="http://schemas.openxmlformats.org/officeDocument/2006/relationships/hyperlink" Target="http://misagweb01.nexteer.com/eRoomReq/Files/erooms4/Application%20Data/eRoom/eRoom%20Client/Application%20Data/eRoom/eRoom%20Client/V7/Plant%20CN's%20Copied%20Out/1132%20checklist%20for%201080579636.xls" TargetMode="External"/><Relationship Id="rId57" Type="http://schemas.openxmlformats.org/officeDocument/2006/relationships/hyperlink" Target="http://misagweb01.nexteer.com/eRoomReq/Files/erooms4/Application%20Data/eRoom/eRoom%20Client/Application%20Data/eRoom/eRoom%20Client/V7/Plant%20CN's%20Copied%20Out/1132%20checklist%20for%201080579639.xls" TargetMode="External"/><Relationship Id="rId106"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483.xls" TargetMode="External"/><Relationship Id="rId127" Type="http://schemas.openxmlformats.org/officeDocument/2006/relationships/hyperlink" Target="../../../../../../../../Documents%20and%20Settings/vzl77v/Desktop/GES%20Downloads/IMP33017919.xls" TargetMode="External"/><Relationship Id="rId262" Type="http://schemas.openxmlformats.org/officeDocument/2006/relationships/hyperlink" Target="../../../../../../../../Documents%20and%20Settings/vzl77v/Desktop/GES%20Downloads/IMP33018864.xls" TargetMode="External"/><Relationship Id="rId283" Type="http://schemas.openxmlformats.org/officeDocument/2006/relationships/hyperlink" Target="../../../../../../../../Documents%20and%20Settings/vzl77v/Desktop/GES%20Downloads/IMP33022733.xls" TargetMode="External"/><Relationship Id="rId313" Type="http://schemas.openxmlformats.org/officeDocument/2006/relationships/hyperlink" Target="../../../../../../../../Documents%20and%20Settings/vzl77v/Desktop/GES%20Downloads/IMP33022709.xls" TargetMode="External"/><Relationship Id="rId318" Type="http://schemas.openxmlformats.org/officeDocument/2006/relationships/vmlDrawing" Target="../drawings/vmlDrawing6.vml"/><Relationship Id="rId10" Type="http://schemas.openxmlformats.org/officeDocument/2006/relationships/hyperlink" Target="http://misagweb01.nexteer.com/eRoomReq/Files/erooms4/Application%20Data/eRoom/eRoom%20Client/Application%20Data/eRoom/eRoom%20Client/V7/Plant%20CN's%20Copied%20Out/1132%20checklist%20for%201080579553.xls" TargetMode="External"/><Relationship Id="rId31" Type="http://schemas.openxmlformats.org/officeDocument/2006/relationships/hyperlink" Target="http://misagweb01.nexteer.com/eRoomReq/Files/erooms4/Application%20Data/eRoom/eRoom%20Client/Application%20Data/eRoom/eRoom%20Client/V7/Plant%20CN's%20Copied%20Out/1132%20checklist%20for%201080578820.xls" TargetMode="External"/><Relationship Id="rId52"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338.xls" TargetMode="External"/><Relationship Id="rId73" Type="http://schemas.openxmlformats.org/officeDocument/2006/relationships/hyperlink" Target="http://misagweb01.nexteer.com/eRoomReq/Files/erooms4/Application%20Data/eRoom/eRoom%20Client/Application%20Data/eRoom/eRoom%20Client/V7/Plant%20CN's%20Copied%20Out/1132%20checklist%20for%201080579706.xls" TargetMode="External"/><Relationship Id="rId78"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3152.xls" TargetMode="External"/><Relationship Id="rId94"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2119.xls" TargetMode="External"/><Relationship Id="rId99" Type="http://schemas.openxmlformats.org/officeDocument/2006/relationships/hyperlink" Target="GES%20Downloads/IMP33016998.xls" TargetMode="External"/><Relationship Id="rId101" Type="http://schemas.openxmlformats.org/officeDocument/2006/relationships/hyperlink" Target="../../../../../../../Documents%20and%20Settings/vzl77v/Desktop/GES%20Downloads/IMP33017271.xls" TargetMode="External"/><Relationship Id="rId122" Type="http://schemas.openxmlformats.org/officeDocument/2006/relationships/hyperlink" Target="http://misagweb01.nexteer.com/eRoomReq/Files/erooms4/ECN/GES%20Downloads/1132%20checklist%20for%201080580107.xls" TargetMode="External"/><Relationship Id="rId143" Type="http://schemas.openxmlformats.org/officeDocument/2006/relationships/hyperlink" Target="../../../../../../../../Documents%20and%20Settings/vzl77v/Desktop/GES%20Downloads/IMP33018787.xls" TargetMode="External"/><Relationship Id="rId148"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0438.xls" TargetMode="External"/><Relationship Id="rId164" Type="http://schemas.openxmlformats.org/officeDocument/2006/relationships/hyperlink" Target="../../../../../../../../Documents%20and%20Settings/vzl77v/Desktop/GES%20Downloads/IMP33018939.xls" TargetMode="External"/><Relationship Id="rId169" Type="http://schemas.openxmlformats.org/officeDocument/2006/relationships/hyperlink" Target="../../../../../../../../Documents%20and%20Settings/vzl77v/Desktop/GES%20Downloads/IMP33019495.xls" TargetMode="External"/><Relationship Id="rId185" Type="http://schemas.openxmlformats.org/officeDocument/2006/relationships/hyperlink" Target="../../../../../../../../Documents%20and%20Settings/vzl77v/Desktop/GES%20Downloads/IMP33018283.xls" TargetMode="External"/><Relationship Id="rId4" Type="http://schemas.openxmlformats.org/officeDocument/2006/relationships/hyperlink" Target="http://misagweb01.nexteer.com/eRoomReq/Files/erooms4/Application%20Data/eRoom/eRoom%20Client/Application%20Data/eRoom/eRoom%20Client/V7/Plant%20CN's%20Copied%20Out/1132%20checklist%20for%201080579327.xls" TargetMode="External"/><Relationship Id="rId9" Type="http://schemas.openxmlformats.org/officeDocument/2006/relationships/hyperlink" Target="http://misagweb01.nexteer.com/eRoomReq/Files/erooms4/Application%20Data/eRoom/eRoom%20Client/Application%20Data/eRoom/eRoom%20Client/V7/Plant%20CN's%20Copied%20Out/1132%20checklist%20for%201080579292.xls" TargetMode="External"/><Relationship Id="rId180" Type="http://schemas.openxmlformats.org/officeDocument/2006/relationships/hyperlink" Target="../../../../../../../../Documents%20and%20Settings/vzl77v/Desktop/GES%20Downloads/IMP33018160.xls" TargetMode="External"/><Relationship Id="rId210"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905.xls" TargetMode="External"/><Relationship Id="rId215" Type="http://schemas.openxmlformats.org/officeDocument/2006/relationships/hyperlink" Target="../../../../../../../Documents%20and%20Settings/vzl77v/Desktop/GES%20Downloads/IMP33017252.xls" TargetMode="External"/><Relationship Id="rId236" Type="http://schemas.openxmlformats.org/officeDocument/2006/relationships/hyperlink" Target="../../../../../../../../Documents%20and%20Settings/vzl77v/Desktop/GES%20Downloads/IMP33017843.xls" TargetMode="External"/><Relationship Id="rId257" Type="http://schemas.openxmlformats.org/officeDocument/2006/relationships/hyperlink" Target="../../../../../../../../Documents%20and%20Settings/vzl77v/Desktop/GES%20Downloads/IMP33023177.xls" TargetMode="External"/><Relationship Id="rId278" Type="http://schemas.openxmlformats.org/officeDocument/2006/relationships/hyperlink" Target="../../../../../../../../Documents%20and%20Settings/vzl77v/Desktop/GES%20Downloads/IMP33018870.xls" TargetMode="External"/><Relationship Id="rId26" Type="http://schemas.openxmlformats.org/officeDocument/2006/relationships/hyperlink" Target="http://misagweb01.nexteer.com/eRoomReq/Files/erooms4/Application%20Data/eRoom/eRoom%20Client/Application%20Data/eRoom/eRoom%20Client/V7/Plant%20CN's%20Copied%20Out/1132%20checklist%20for%201080579296.xls" TargetMode="External"/><Relationship Id="rId231" Type="http://schemas.openxmlformats.org/officeDocument/2006/relationships/hyperlink" Target="../../../../../../../../Documents%20and%20Settings/vzl77v/Desktop/GES%20Downloads/IMP33018533.xls" TargetMode="External"/><Relationship Id="rId252" Type="http://schemas.openxmlformats.org/officeDocument/2006/relationships/hyperlink" Target="../../../../../../../../Documents%20and%20Settings/vzl77v/Desktop/GES%20Downloads/IMP33021952.xls" TargetMode="External"/><Relationship Id="rId273" Type="http://schemas.openxmlformats.org/officeDocument/2006/relationships/hyperlink" Target="../../../../../../../../Documents%20and%20Settings/vzl77v/Desktop/GES%20Downloads/IMP33023883.xls" TargetMode="External"/><Relationship Id="rId294" Type="http://schemas.openxmlformats.org/officeDocument/2006/relationships/hyperlink" Target="../../../../../../../../Documents%20and%20Settings/vzl77v/Desktop/GES%20Downloads/IMP33024804.xls" TargetMode="External"/><Relationship Id="rId308" Type="http://schemas.openxmlformats.org/officeDocument/2006/relationships/hyperlink" Target="../../../../../../../../Documents%20and%20Settings/vzl77v/Desktop/GES%20Downloads/IMP33025725.xls" TargetMode="External"/><Relationship Id="rId47" Type="http://schemas.openxmlformats.org/officeDocument/2006/relationships/hyperlink" Target="http://misagweb01.nexteer.com/eRoomReq/Files/erooms4/Application%20Data/eRoom/eRoom%20Client/Application%20Data/eRoom/eRoom%20Client/V7/Plant%20CN's%20Copied%20Out/1132%20checklist%20for%201080579702.xls" TargetMode="External"/><Relationship Id="rId68" Type="http://schemas.openxmlformats.org/officeDocument/2006/relationships/hyperlink" Target="http://misagweb01.nexteer.com/eRoomReq/Files/erooms4/Application%20Data/eRoom/eRoom%20Client/Application%20Data/eRoom/eRoom%20Client/V7/Plant%20CN's%20Copied%20Out/1132%20checklist%20for%201080579626.xls" TargetMode="External"/><Relationship Id="rId89"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2215.xls" TargetMode="External"/><Relationship Id="rId112"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439.xls" TargetMode="External"/><Relationship Id="rId133" Type="http://schemas.openxmlformats.org/officeDocument/2006/relationships/hyperlink" Target="../../../../../../../../Documents%20and%20Settings/vzl77v/Desktop/GES%20Downloads/IMP33017768.xls" TargetMode="External"/><Relationship Id="rId154" Type="http://schemas.openxmlformats.org/officeDocument/2006/relationships/hyperlink" Target="../My%20Documents/My%20Documents/My%20Documents/My%20Documents/My%20Documents/My%20Documents/My%20Documents/My%20Documents/GES%20downloads/IMP33016494.xls" TargetMode="External"/><Relationship Id="rId175" Type="http://schemas.openxmlformats.org/officeDocument/2006/relationships/hyperlink" Target="../../../../../../../../Documents%20and%20Settings/vzl77v/Desktop/GES%20Downloads/IMP33018457.xls" TargetMode="External"/><Relationship Id="rId196" Type="http://schemas.openxmlformats.org/officeDocument/2006/relationships/hyperlink" Target="../../../../../../../../Documents%20and%20Settings/vzl77v/Desktop/GES%20Downloads/IMP33021953.xls" TargetMode="External"/><Relationship Id="rId200" Type="http://schemas.openxmlformats.org/officeDocument/2006/relationships/hyperlink" Target="../../../../../../../../Documents%20and%20Settings/vzl77v/Desktop/GES%20Downloads/IMP33020469.xls" TargetMode="External"/><Relationship Id="rId16" Type="http://schemas.openxmlformats.org/officeDocument/2006/relationships/hyperlink" Target="http://misagweb01.nexteer.com/eRoomReq/Files/erooms4/Application%20Data/eRoom/eRoom%20Client/Application%20Data/eRoom/eRoom%20Client/V7/Plant%20CN's%20Copied%20Out/1132%20checklist%20for%201080578571.xls" TargetMode="External"/><Relationship Id="rId221" Type="http://schemas.openxmlformats.org/officeDocument/2006/relationships/hyperlink" Target="../../../../../../../../Documents%20and%20Settings/vzl77v/Desktop/GES%20Downloads/IMP33020861.xls" TargetMode="External"/><Relationship Id="rId242"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369.xls" TargetMode="External"/><Relationship Id="rId263" Type="http://schemas.openxmlformats.org/officeDocument/2006/relationships/hyperlink" Target="../../../../../../../../Documents%20and%20Settings/vzl77v/Desktop/GES%20Downloads/IMP33019593.xls" TargetMode="External"/><Relationship Id="rId284" Type="http://schemas.openxmlformats.org/officeDocument/2006/relationships/hyperlink" Target="../../../../../../../../Documents%20and%20Settings/vzl77v/Desktop/GES%20Downloads/IMP33022736.xls" TargetMode="External"/><Relationship Id="rId319" Type="http://schemas.openxmlformats.org/officeDocument/2006/relationships/comments" Target="../comments6.xml"/><Relationship Id="rId37" Type="http://schemas.openxmlformats.org/officeDocument/2006/relationships/hyperlink" Target="http://misagweb01.nexteer.com/eRoomReq/Files/erooms4/Application%20Data/eRoom/eRoom%20Client/Application%20Data/eRoom/eRoom%20Client/V7/Plant%20CN's%20Copied%20Out/1132%20checklist%20for%201080578515.xls" TargetMode="External"/><Relationship Id="rId58" Type="http://schemas.openxmlformats.org/officeDocument/2006/relationships/hyperlink" Target="http://misagweb01.nexteer.com/eRoomReq/Files/erooms4/ECN/GES%20Downloads/1132%20checklist%20for%201080580208.xls" TargetMode="External"/><Relationship Id="rId79"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3925.xls" TargetMode="External"/><Relationship Id="rId102" Type="http://schemas.openxmlformats.org/officeDocument/2006/relationships/hyperlink" Target="GES%20Downloads/IMP33017028.xls" TargetMode="External"/><Relationship Id="rId123"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425.xls" TargetMode="External"/><Relationship Id="rId144" Type="http://schemas.openxmlformats.org/officeDocument/2006/relationships/hyperlink" Target="../../../../../../../../Documents%20and%20Settings/vzl77v/Desktop/GES%20Downloads/IMP33019065.xls" TargetMode="External"/><Relationship Id="rId90" Type="http://schemas.openxmlformats.org/officeDocument/2006/relationships/hyperlink" Target="http://misagweb01.nexteer.com/eRoomReq/Files/erooms4/Application%20Data/eRoom/eRoom%20Client/Application%20Data/eRoom/eRoom%20Client/V7/Plant%20CN's%20Copied%20Out/1132%20checklist%20for%201080578188.xls" TargetMode="External"/><Relationship Id="rId165"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8929.xls" TargetMode="External"/><Relationship Id="rId186" Type="http://schemas.openxmlformats.org/officeDocument/2006/relationships/hyperlink" Target="../../../../../../../../Documents%20and%20Settings/vzl77v/Desktop/GES%20Downloads/IMP33019087.xls" TargetMode="External"/><Relationship Id="rId211" Type="http://schemas.openxmlformats.org/officeDocument/2006/relationships/hyperlink" Target="../../../../../../../../Documents%20and%20Settings/vzl77v/Desktop/GES%20Downloads/IMP33019516.xls" TargetMode="External"/><Relationship Id="rId232" Type="http://schemas.openxmlformats.org/officeDocument/2006/relationships/hyperlink" Target="../../../../../../../../Documents%20and%20Settings/vzl77v/Desktop/GES%20Downloads/IMP33019576.xls" TargetMode="External"/><Relationship Id="rId253" Type="http://schemas.openxmlformats.org/officeDocument/2006/relationships/hyperlink" Target="../../../../../../../../Documents%20and%20Settings/vzl77v/Desktop/GES%20Downloads/IMP33021972.xls" TargetMode="External"/><Relationship Id="rId274"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2159.xls" TargetMode="External"/><Relationship Id="rId295" Type="http://schemas.openxmlformats.org/officeDocument/2006/relationships/hyperlink" Target="../../../../../../../../Documents%20and%20Settings/vzl77v/Desktop/GES%20Downloads/IMP33023260.xls" TargetMode="External"/><Relationship Id="rId309" Type="http://schemas.openxmlformats.org/officeDocument/2006/relationships/hyperlink" Target="../../../../../../../../Documents%20and%20Settings/vzl77v/Desktop/GES%20Downloads/IMP33018393.xls" TargetMode="External"/><Relationship Id="rId27" Type="http://schemas.openxmlformats.org/officeDocument/2006/relationships/hyperlink" Target="http://misagweb01.nexteer.com/eRoomReq/Files/erooms4/Application%20Data/eRoom/eRoom%20Client/Application%20Data/eRoom/eRoom%20Client/V7/Plant%20CN's%20Copied%20Out/1132%20checklist%20for%201080579233.xls" TargetMode="External"/><Relationship Id="rId48" Type="http://schemas.openxmlformats.org/officeDocument/2006/relationships/hyperlink" Target="http://misagweb01.nexteer.com/eRoomReq/Files/erooms4/Application%20Data/eRoom/eRoom%20Client/Application%20Data/eRoom/eRoom%20Client/V7/Plant%20CN's%20Copied%20Out/1132%20checklist%20for%201080579705.xls" TargetMode="External"/><Relationship Id="rId69"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0066.xls" TargetMode="External"/><Relationship Id="rId113"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516.xls" TargetMode="External"/><Relationship Id="rId134" Type="http://schemas.openxmlformats.org/officeDocument/2006/relationships/hyperlink" Target="../../../../../../../../Documents%20and%20Settings/vzl77v/Desktop/GES%20Downloads/IMP33018289.xls" TargetMode="External"/><Relationship Id="rId80" Type="http://schemas.openxmlformats.org/officeDocument/2006/relationships/hyperlink" Target="http://misagweb01.nexteer.com/eRoomReq/Files/erooms4/Application%20Data/eRoom/eRoom%20Client/Application%20Data/eRoom/eRoom%20Client/V7/Plant%20CN's%20Copied%20Out/1132%20checklist%20for%201080579637.xls" TargetMode="External"/><Relationship Id="rId155" Type="http://schemas.openxmlformats.org/officeDocument/2006/relationships/hyperlink" Target="../My%20Documents/My%20Documents/My%20Documents/Downloads/GES%20Downloads/IMP33016926.xls" TargetMode="External"/><Relationship Id="rId176" Type="http://schemas.openxmlformats.org/officeDocument/2006/relationships/hyperlink" Target="../../../../../../../../Documents%20and%20Settings/vzl77v/Desktop/GES%20Downloads/IMP33018650.xls" TargetMode="External"/><Relationship Id="rId197" Type="http://schemas.openxmlformats.org/officeDocument/2006/relationships/hyperlink" Target="../../../../../../../../Documents%20and%20Settings/vzl77v/Desktop/GES%20Downloads/IMP33022397.xls" TargetMode="External"/><Relationship Id="rId201" Type="http://schemas.openxmlformats.org/officeDocument/2006/relationships/hyperlink" Target="../../../../../../../../Documents%20and%20Settings/vzl77v/Desktop/GES%20Downloads/IMP33020470.xls" TargetMode="External"/><Relationship Id="rId222" Type="http://schemas.openxmlformats.org/officeDocument/2006/relationships/hyperlink" Target="../../../../../../../../Documents%20and%20Settings/vzl77v/Desktop/GES%20Downloads/IMP33021363.xls" TargetMode="External"/><Relationship Id="rId243" Type="http://schemas.openxmlformats.org/officeDocument/2006/relationships/hyperlink" Target="../../../../../../../../Documents%20and%20Settings/vzl77v/Desktop/GES%20Downloads/IMP33018022.xls" TargetMode="External"/><Relationship Id="rId264" Type="http://schemas.openxmlformats.org/officeDocument/2006/relationships/hyperlink" Target="../../../../../../../../Documents%20and%20Settings/vzl77v/Desktop/GES%20Downloads/IMP33021951.xls" TargetMode="External"/><Relationship Id="rId285" Type="http://schemas.openxmlformats.org/officeDocument/2006/relationships/hyperlink" Target="../../../../../../../../Documents%20and%20Settings/vzl77v/Desktop/GES%20Downloads/IMP33023308.xls" TargetMode="External"/><Relationship Id="rId17" Type="http://schemas.openxmlformats.org/officeDocument/2006/relationships/hyperlink" Target="http://misagweb01.nexteer.com/eRoomReq/Files/erooms4/Application%20Data/eRoom/eRoom%20Client/Application%20Data/eRoom/eRoom%20Client/V7/Plant%20CN's%20Copied%20Out/1132%20checklist%20for%201080579334.xls" TargetMode="External"/><Relationship Id="rId38" Type="http://schemas.openxmlformats.org/officeDocument/2006/relationships/hyperlink" Target="http://misagweb01.nexteer.com/eRoomReq/Files/erooms4/Application%20Data/eRoom/eRoom%20Client/Application%20Data/eRoom/eRoom%20Client/V7/Plant%20CN's%20Copied%20Out/1132%20checklist%20for%201080579708.xls" TargetMode="External"/><Relationship Id="rId59"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375.xls" TargetMode="External"/><Relationship Id="rId103"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3196.xls" TargetMode="External"/><Relationship Id="rId124"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346.xls" TargetMode="External"/><Relationship Id="rId310" Type="http://schemas.openxmlformats.org/officeDocument/2006/relationships/hyperlink" Target="../../../../../../../../Documents%20and%20Settings/vzl77v/Desktop/GES%20Downloads/IMP33022310.xls" TargetMode="External"/><Relationship Id="rId70"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936.xls" TargetMode="External"/><Relationship Id="rId91" Type="http://schemas.openxmlformats.org/officeDocument/2006/relationships/hyperlink" Target="http://misagweb01.nexteer.com/eRoomReq/Files/erooms4/Application%20Data/eRoom/eRoom%20Client/Application%20Data/eRoom/eRoom%20Client/V7/Plant%20CN's%20Copied%20Out/1132%20checklist%20for%201080579294.xls" TargetMode="External"/><Relationship Id="rId145" Type="http://schemas.openxmlformats.org/officeDocument/2006/relationships/hyperlink" Target="../../../../../../../../Documents%20and%20Settings/vzl77v/Desktop/GES%20Downloads/IMP33019086.xls" TargetMode="External"/><Relationship Id="rId166" Type="http://schemas.openxmlformats.org/officeDocument/2006/relationships/hyperlink" Target="../../../../../../../../Documents%20and%20Settings/vzl77v/Desktop/GES%20Downloads/IMP33019620.xls" TargetMode="External"/><Relationship Id="rId187"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0221.xls" TargetMode="External"/><Relationship Id="rId1" Type="http://schemas.openxmlformats.org/officeDocument/2006/relationships/hyperlink" Target="http://misagweb01.nexteer.com/eRoomReq/Files/erooms4/Application%20Data/eRoom/eRoom%20Client/Application%20Data/eRoom/eRoom%20Client/V7/Plant%20CN's%20Copied%20Out/1132%20checklist%20for%201080578743.xls" TargetMode="External"/><Relationship Id="rId212" Type="http://schemas.openxmlformats.org/officeDocument/2006/relationships/hyperlink" Target="../../../../../../../../Documents%20and%20Settings/vzl77v/Desktop/GES%20Downloads/IMP33021784.xls" TargetMode="External"/><Relationship Id="rId233" Type="http://schemas.openxmlformats.org/officeDocument/2006/relationships/hyperlink" Target="../../../../../../../../Documents%20and%20Settings/vzl77v/Desktop/GES%20Downloads/IMP33020483.xls" TargetMode="External"/><Relationship Id="rId254" Type="http://schemas.openxmlformats.org/officeDocument/2006/relationships/hyperlink" Target="../../../../../../../../Documents%20and%20Settings/vzl77v/Desktop/GES%20Downloads/IMP33017625.xls" TargetMode="External"/><Relationship Id="rId28" Type="http://schemas.openxmlformats.org/officeDocument/2006/relationships/hyperlink" Target="http://misagweb01.nexteer.com/eRoomReq/Files/erooms4/Application%20Data/eRoom/eRoom%20Client/Application%20Data/eRoom/eRoom%20Client/V7/Plant%20CN's%20Copied%20Out/1132%20checklist%20for%201080579046.xls" TargetMode="External"/><Relationship Id="rId49" Type="http://schemas.openxmlformats.org/officeDocument/2006/relationships/hyperlink" Target="http://misagweb01.nexteer.com/eRoomReq/Files/erooms4/ECN/GES%20Downloads/1132%20checklist%20for%201080580127.xls" TargetMode="External"/><Relationship Id="rId114" Type="http://schemas.openxmlformats.org/officeDocument/2006/relationships/hyperlink" Target="../../../../Desktop/GES%20Downloads/IMP33017134.xls" TargetMode="External"/><Relationship Id="rId275" Type="http://schemas.openxmlformats.org/officeDocument/2006/relationships/hyperlink" Target="../../../../../../../../Documents%20and%20Settings/vzl77v/Desktop/GES%20Downloads/IMP33018016.xls" TargetMode="External"/><Relationship Id="rId296" Type="http://schemas.openxmlformats.org/officeDocument/2006/relationships/hyperlink" Target="../../../../../../../../Documents%20and%20Settings/vzl77v/Desktop/GES%20Downloads/IMP33023981.xls" TargetMode="External"/><Relationship Id="rId300" Type="http://schemas.openxmlformats.org/officeDocument/2006/relationships/hyperlink" Target="../../../../../../../../Documents%20and%20Settings/vzl77v/Desktop/GES%20Downloads/IMP33019489.xls" TargetMode="External"/><Relationship Id="rId60"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554.xls" TargetMode="External"/><Relationship Id="rId81"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850.xls" TargetMode="External"/><Relationship Id="rId135" Type="http://schemas.openxmlformats.org/officeDocument/2006/relationships/hyperlink" Target="../../../../../../../../Documents%20and%20Settings/vzl77v/Desktop/GES%20Downloads/IMP33018644.xls" TargetMode="External"/><Relationship Id="rId156" Type="http://schemas.openxmlformats.org/officeDocument/2006/relationships/hyperlink" Target="GES%20Downloads/IMP33017052.xls" TargetMode="External"/><Relationship Id="rId177" Type="http://schemas.openxmlformats.org/officeDocument/2006/relationships/hyperlink" Target="../../../../../../../../Documents%20and%20Settings/vzl77v/Desktop/GES%20Downloads/IMP33017910.xls" TargetMode="External"/><Relationship Id="rId198" Type="http://schemas.openxmlformats.org/officeDocument/2006/relationships/hyperlink" Target="../../../../../../../../Documents%20and%20Settings/vzl77v/Desktop/GES%20Downloads/IMP33019311.xls" TargetMode="External"/><Relationship Id="rId202" Type="http://schemas.openxmlformats.org/officeDocument/2006/relationships/hyperlink" Target="../../../../../../../../Documents%20and%20Settings/vzl77v/Desktop/GES%20Downloads/IMP33020751.xls" TargetMode="External"/><Relationship Id="rId223" Type="http://schemas.openxmlformats.org/officeDocument/2006/relationships/hyperlink" Target="../../../../../../../../Documents%20and%20Settings/vzl77v/Desktop/GES%20Downloads/IMP33022411.xls" TargetMode="External"/><Relationship Id="rId244" Type="http://schemas.openxmlformats.org/officeDocument/2006/relationships/hyperlink" Target="../../../../../../../../Documents%20and%20Settings/vzl77v/Desktop/GES%20Downloads/IMP33019072.xls" TargetMode="External"/><Relationship Id="rId18" Type="http://schemas.openxmlformats.org/officeDocument/2006/relationships/hyperlink" Target="http://misagweb01.nexteer.com/eRoomReq/Files/erooms4/Application%20Data/eRoom/eRoom%20Client/Application%20Data/eRoom/eRoom%20Client/V7/Plant%20CN's%20Copied%20Out/1132%20checklist%20for%201080579404.xls" TargetMode="External"/><Relationship Id="rId39" Type="http://schemas.openxmlformats.org/officeDocument/2006/relationships/hyperlink" Target="http://misagweb01.nexteer.com/eRoomReq/Files/erooms4/ECN/GES%20Downloads/1132%20checklist%20for%201080580069.xls" TargetMode="External"/><Relationship Id="rId265" Type="http://schemas.openxmlformats.org/officeDocument/2006/relationships/hyperlink" Target="../../../../../../../../Documents%20and%20Settings/vzl77v/Desktop/GES%20Downloads/IMP33021954.xls" TargetMode="External"/><Relationship Id="rId286" Type="http://schemas.openxmlformats.org/officeDocument/2006/relationships/hyperlink" Target="../../../../../../../../Documents%20and%20Settings/vzl77v/Desktop/GES%20Downloads/IMP33024153.xls" TargetMode="External"/><Relationship Id="rId50" Type="http://schemas.openxmlformats.org/officeDocument/2006/relationships/hyperlink" Target="http://misagweb01.nexteer.com/eRoomReq/Files/erooms4/Application%20Data/eRoom/eRoom%20Client/Application%20Data/eRoom/eRoom%20Client/V7/Plant%20CN's%20Copied%20Out/1132%20checklist%20for%201080578966.xls" TargetMode="External"/><Relationship Id="rId104"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017.xls" TargetMode="External"/><Relationship Id="rId125" Type="http://schemas.openxmlformats.org/officeDocument/2006/relationships/hyperlink" Target="../../../../Desktop/GES%20Downloads/IMP33017133.xls" TargetMode="External"/><Relationship Id="rId146"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4649.xls" TargetMode="External"/><Relationship Id="rId167"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2618.xls" TargetMode="External"/><Relationship Id="rId188" Type="http://schemas.openxmlformats.org/officeDocument/2006/relationships/hyperlink" Target="../../../../../../../../Documents%20and%20Settings/vzl77v/Desktop/GES%20Downloads/IMP33018940.xls" TargetMode="External"/><Relationship Id="rId311" Type="http://schemas.openxmlformats.org/officeDocument/2006/relationships/hyperlink" Target="../../../../../../../../Documents%20and%20Settings/vzl77v/Desktop/GES%20Downloads/IMP33022326.xls" TargetMode="External"/><Relationship Id="rId71"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2054.xls" TargetMode="External"/><Relationship Id="rId92"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0441.xls" TargetMode="External"/><Relationship Id="rId213"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757.xls" TargetMode="External"/><Relationship Id="rId234" Type="http://schemas.openxmlformats.org/officeDocument/2006/relationships/hyperlink" Target="../../../../../../../../Documents%20and%20Settings/vzl77v/Desktop/GES%20Downloads/IMP33022742.xls" TargetMode="External"/><Relationship Id="rId2" Type="http://schemas.openxmlformats.org/officeDocument/2006/relationships/hyperlink" Target="http://misagweb01.nexteer.com/eRoomReq/Files/erooms4/Application%20Data/eRoom/eRoom%20Client/Application%20Data/eRoom/eRoom%20Client/V7/Plant%20CN's%20Copied%20Out/1132%20checklist%20for%201080579137.xls" TargetMode="External"/><Relationship Id="rId29" Type="http://schemas.openxmlformats.org/officeDocument/2006/relationships/hyperlink" Target="http://misagweb01.nexteer.com/eRoomReq/Files/erooms4/Application%20Data/eRoom/eRoom%20Client/Application%20Data/eRoom/eRoom%20Client/V7/Plant%20CN's%20Copied%20Out/1132%20checklist%20for%201080579041.xls" TargetMode="External"/><Relationship Id="rId255" Type="http://schemas.openxmlformats.org/officeDocument/2006/relationships/hyperlink" Target="../../../../../../../../Documents%20and%20Settings/vzl77v/Desktop/GES%20Downloads/IMP33022357.xls" TargetMode="External"/><Relationship Id="rId276" Type="http://schemas.openxmlformats.org/officeDocument/2006/relationships/hyperlink" Target="../../../../../../../../Documents%20and%20Settings/vzl77v/Desktop/GES%20Downloads/IMP33018257.xls" TargetMode="External"/><Relationship Id="rId297" Type="http://schemas.openxmlformats.org/officeDocument/2006/relationships/hyperlink" Target="../../../../../../../../Documents%20and%20Settings/vzl77v/Desktop/GES%20Downloads/IMP33018372.xls" TargetMode="External"/><Relationship Id="rId40" Type="http://schemas.openxmlformats.org/officeDocument/2006/relationships/hyperlink" Target="http://misagweb01.nexteer.com/eRoomReq/Files/erooms4/Application%20Data/eRoom/eRoom%20Client/Application%20Data/eRoom/eRoom%20Client/V7/Plant%20CN's%20Copied%20Out/1132%20checklist%20for%201080579542.xls" TargetMode="External"/><Relationship Id="rId115" Type="http://schemas.openxmlformats.org/officeDocument/2006/relationships/hyperlink" Target="../../../../../../../Documents%20and%20Settings/vzl77v/Desktop/GES%20Downloads/IMP33017255.xls" TargetMode="External"/><Relationship Id="rId136" Type="http://schemas.openxmlformats.org/officeDocument/2006/relationships/hyperlink" Target="../../../../../../../../Documents%20and%20Settings/vzl77v/Desktop/GES%20Downloads/IMP33018708.xls" TargetMode="External"/><Relationship Id="rId157" Type="http://schemas.openxmlformats.org/officeDocument/2006/relationships/hyperlink" Target="../../../../Desktop/GES%20Downloads/IMP33017132.xls" TargetMode="External"/><Relationship Id="rId178" Type="http://schemas.openxmlformats.org/officeDocument/2006/relationships/hyperlink" Target="../../../../../../../../Documents%20and%20Settings/vzl77v/Desktop/GES%20Downloads/IMP33019329.xls" TargetMode="External"/><Relationship Id="rId301" Type="http://schemas.openxmlformats.org/officeDocument/2006/relationships/hyperlink" Target="../../../../../../../../Documents%20and%20Settings/vzl77v/Desktop/GES%20Downloads/IMP33021801.xls" TargetMode="External"/><Relationship Id="rId61" Type="http://schemas.openxmlformats.org/officeDocument/2006/relationships/hyperlink" Target="http://misagweb01.nexteer.com/eRoomReq/Files/erooms4/Application%20Data/eRoom/eRoom%20Client/Application%20Data/eRoom/eRoom%20Client/V7/Plant%20CN's%20Copied%20Out/1132%20checklist%20for%201080578564.xls" TargetMode="External"/><Relationship Id="rId82"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0558.xls" TargetMode="External"/><Relationship Id="rId199" Type="http://schemas.openxmlformats.org/officeDocument/2006/relationships/hyperlink" Target="../../../../../../../../Documents%20and%20Settings/vzl77v/Desktop/GES%20Downloads/IMP33020382.xls" TargetMode="External"/><Relationship Id="rId203" Type="http://schemas.openxmlformats.org/officeDocument/2006/relationships/hyperlink" Target="../../../../../../../../Documents%20and%20Settings/vzl77v/Desktop/GES%20Downloads/IMP33022399.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misagweb01.nexteer.com/eRoomReq/Files/erooms4/Application%20Data/eRoom/eRoom%20Client/Application%20Data/eRoom/eRoom%20Client/V7/Plant%20CN's%20Copied%20Out/1132%20checklist%20for%201080579524.xls" TargetMode="External"/><Relationship Id="rId13" Type="http://schemas.openxmlformats.org/officeDocument/2006/relationships/hyperlink" Target="http://misagweb01.nexteer.com/eRoomReq/Files/erooms4/Application%20Data/eRoom/eRoom%20Client/Application%20Data/eRoom/eRoom%20Client/V7/Plant%20CN's%20Copied%20Out/1132%20checklist%20for%201080579725.xls" TargetMode="External"/><Relationship Id="rId18"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847.xls" TargetMode="External"/><Relationship Id="rId26" Type="http://schemas.openxmlformats.org/officeDocument/2006/relationships/vmlDrawing" Target="../drawings/vmlDrawing7.vml"/><Relationship Id="rId3" Type="http://schemas.openxmlformats.org/officeDocument/2006/relationships/hyperlink" Target="http://misagweb01.nexteer.com/eRoomReq/Files/erooms4/Application%20Data/eRoom/eRoom%20Client/Application%20Data/eRoom/eRoom%20Client/V7/Plant%20CN's%20Copied%20Out/1132%20checklist%20for%201080578940.xls" TargetMode="External"/><Relationship Id="rId21"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09822.xls" TargetMode="External"/><Relationship Id="rId7" Type="http://schemas.openxmlformats.org/officeDocument/2006/relationships/hyperlink" Target="http://misagweb01.nexteer.com/eRoomReq/Files/erooms4/Application%20Data/eRoom/eRoom%20Client/Application%20Data/eRoom/eRoom%20Client/V7/Plant%20CN's%20Copied%20Out/1132%20checklist%20for%201080579368.xls" TargetMode="External"/><Relationship Id="rId12" Type="http://schemas.openxmlformats.org/officeDocument/2006/relationships/hyperlink" Target="http://misagweb01.nexteer.com/eRoomReq/Files/erooms4/Application%20Data/eRoom/eRoom%20Client/Application%20Data/eRoom/eRoom%20Client/V7/Plant%20CN's%20Copied%20Out/1132%20checklist%20for%201080579709.xls" TargetMode="External"/><Relationship Id="rId17"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Downloads/GES%20Downloads/1132%20checklist%20for%201080580236.xls" TargetMode="External"/><Relationship Id="rId25" Type="http://schemas.openxmlformats.org/officeDocument/2006/relationships/printerSettings" Target="../printerSettings/printerSettings14.bin"/><Relationship Id="rId2" Type="http://schemas.openxmlformats.org/officeDocument/2006/relationships/hyperlink" Target="http://misagweb01.nexteer.com/eRoomReq/Files/erooms4/Application%20Data/eRoom/eRoom%20Client/Application%20Data/eRoom/eRoom%20Client/V7/Plant%20CN's%20Copied%20Out/1132%20checklist%20for%201080578795.xls" TargetMode="External"/><Relationship Id="rId16" Type="http://schemas.openxmlformats.org/officeDocument/2006/relationships/hyperlink" Target="http://misagweb01.nexteer.com/eRoomReq/Files/erooms4/Application%20Data/eRoom/eRoom%20Client/Application%20Data/eRoom/eRoom%20Client/V7/Plant%20CN's%20Copied%20Out/1132%20checklist%20for%201080579407.xls" TargetMode="External"/><Relationship Id="rId20"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IMP33011958.xls" TargetMode="External"/><Relationship Id="rId1" Type="http://schemas.openxmlformats.org/officeDocument/2006/relationships/hyperlink" Target="http://misagweb01.nexteer.com/eRoomReq/Files/erooms4/Application%20Data/eRoom/eRoom%20Client/Application%20Data/eRoom/eRoom%20Client/V7/Plant%20CN's%20Copied%20Out/1132%20checklist%20for%201080578776.xls" TargetMode="External"/><Relationship Id="rId6" Type="http://schemas.openxmlformats.org/officeDocument/2006/relationships/hyperlink" Target="http://misagweb01.nexteer.com/eRoomReq/Files/erooms4/Application%20Data/eRoom/eRoom%20Client/Application%20Data/eRoom/eRoom%20Client/V7/Plant%20CN's%20Copied%20Out/1132%20checklist%20for%201080579256.xls" TargetMode="External"/><Relationship Id="rId11" Type="http://schemas.openxmlformats.org/officeDocument/2006/relationships/hyperlink" Target="http://misagweb01.nexteer.com/eRoomReq/Files/erooms4/Application%20Data/eRoom/eRoom%20Client/Application%20Data/eRoom/eRoom%20Client/V7/Plant%20CN's%20Copied%20Out/1132%20checklist%20for%201080579635.xls" TargetMode="External"/><Relationship Id="rId24" Type="http://schemas.openxmlformats.org/officeDocument/2006/relationships/hyperlink" Target="../../../../../../../../Documents%20and%20Settings/vzl77v/Desktop/GES%20Downloads/IMP33022747.xls" TargetMode="External"/><Relationship Id="rId5" Type="http://schemas.openxmlformats.org/officeDocument/2006/relationships/hyperlink" Target="http://misagweb01.nexteer.com/eRoomReq/Files/erooms4/Application%20Data/eRoom/eRoom%20Client/Application%20Data/eRoom/eRoom%20Client/V7/Plant%20CN's%20Copied%20Out/1132%20checklist%20for%201080579165.xls" TargetMode="External"/><Relationship Id="rId15" Type="http://schemas.openxmlformats.org/officeDocument/2006/relationships/hyperlink" Target="http://misagweb01.nexteer.com/eRoomReq/Files/erooms4/Application%20Data/eRoom/eRoom%20Client/Application%20Data/eRoom/eRoom%20Client/V7/Plant%20CN's%20Copied%20Out/1132%20checklist%20for%201080579526.xls" TargetMode="External"/><Relationship Id="rId23" Type="http://schemas.openxmlformats.org/officeDocument/2006/relationships/hyperlink" Target="../../../../../../../../Documents%20and%20Settings/vzl77v/Desktop/PLM%20Junk/Product/PCN_checklist_P400202.xls" TargetMode="External"/><Relationship Id="rId10" Type="http://schemas.openxmlformats.org/officeDocument/2006/relationships/hyperlink" Target="http://misagweb01.nexteer.com/eRoomReq/Files/erooms4/Application%20Data/eRoom/eRoom%20Client/Application%20Data/eRoom/eRoom%20Client/V7/Plant%20CN's%20Copied%20Out/1132%20checklist%20for%201080579607.xls" TargetMode="External"/><Relationship Id="rId19" Type="http://schemas.openxmlformats.org/officeDocument/2006/relationships/hyperlink" Target="../My%20Documents/My%20Documents/My%20Documents/My%20Documents/My%20Documents/My%20Documents/My%20Documents/My%20Documents/My%20Documents/My%20Documents/My%20Documents/My%20Documents/My%20Documents/My%20Documents/My%20Documents/My%20Documents/My%20Documents/My%20Documents/My%20Documents/My%20Documents/My%20Documents/My%20Documents/GES%20Downloads/1132%20checklist%20for%201080580319.xls" TargetMode="External"/><Relationship Id="rId4" Type="http://schemas.openxmlformats.org/officeDocument/2006/relationships/hyperlink" Target="http://misagweb01.nexteer.com/eRoomReq/Files/erooms4/Application%20Data/eRoom/eRoom%20Client/Application%20Data/eRoom/eRoom%20Client/V7/Plant%20CN's%20Copied%20Out/1132%20checklist%20for%201080579160.xls" TargetMode="External"/><Relationship Id="rId9" Type="http://schemas.openxmlformats.org/officeDocument/2006/relationships/hyperlink" Target="http://misagweb01.nexteer.com/eRoomReq/Files/erooms4/Application%20Data/eRoom/eRoom%20Client/Application%20Data/eRoom/eRoom%20Client/V7/Plant%20CN's%20Copied%20Out/1132%20checklist%20for%201080579605.xls" TargetMode="External"/><Relationship Id="rId14" Type="http://schemas.openxmlformats.org/officeDocument/2006/relationships/hyperlink" Target="http://misagweb01.nexteer.com/eRoomReq/Files/erooms4/Application%20Data/eRoom/eRoom%20Client/Application%20Data/eRoom/eRoom%20Client/V7/Plant%20CN's%20Copied%20Out/1132%20checklist%20for%201080579787.xls" TargetMode="External"/><Relationship Id="rId22" Type="http://schemas.openxmlformats.org/officeDocument/2006/relationships/hyperlink" Target="../../../../../../../../Documents%20and%20Settings/vzl77v/Desktop/GES%20Downloads/IMP33020230.xls" TargetMode="External"/><Relationship Id="rId27" Type="http://schemas.openxmlformats.org/officeDocument/2006/relationships/comments" Target="../comments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35"/>
  <sheetViews>
    <sheetView tabSelected="1" topLeftCell="B1" zoomScale="60" zoomScaleNormal="60" zoomScaleSheetLayoutView="50" workbookViewId="0">
      <pane ySplit="2" topLeftCell="A3" activePane="bottomLeft" state="frozen"/>
      <selection activeCell="E1" sqref="E1"/>
      <selection pane="bottomLeft" activeCell="A135" sqref="A135"/>
    </sheetView>
  </sheetViews>
  <sheetFormatPr defaultRowHeight="15" x14ac:dyDescent="0.2"/>
  <cols>
    <col min="1" max="1" width="17.140625" style="20" hidden="1" customWidth="1"/>
    <col min="2" max="3" width="16.42578125" style="2" customWidth="1"/>
    <col min="4" max="4" width="13.140625" style="93" customWidth="1"/>
    <col min="5" max="5" width="79.42578125" style="20" customWidth="1"/>
    <col min="6" max="6" width="12.85546875" style="28" customWidth="1"/>
    <col min="7" max="7" width="13" style="29" customWidth="1"/>
    <col min="8" max="8" width="17" style="29" customWidth="1"/>
    <col min="9" max="9" width="15" style="30" customWidth="1"/>
    <col min="10" max="10" width="15" style="94" customWidth="1"/>
    <col min="11" max="11" width="17.85546875" style="94" customWidth="1"/>
    <col min="12" max="12" width="15" style="94" customWidth="1"/>
    <col min="13" max="13" width="12.42578125" style="94" customWidth="1"/>
    <col min="14" max="14" width="19.5703125" style="94" customWidth="1"/>
    <col min="15" max="15" width="16" style="94" customWidth="1"/>
    <col min="16" max="16" width="13" style="94" customWidth="1"/>
    <col min="17" max="17" width="44.5703125" style="20" customWidth="1"/>
    <col min="18" max="18" width="56.85546875" style="20" customWidth="1"/>
    <col min="19" max="21" width="9.140625" style="20" customWidth="1"/>
    <col min="22" max="16384" width="9.140625" style="20"/>
  </cols>
  <sheetData>
    <row r="1" spans="1:18" ht="15.75" thickBot="1" x14ac:dyDescent="0.25">
      <c r="A1" s="2"/>
      <c r="B1" s="27" t="s">
        <v>19</v>
      </c>
      <c r="C1" s="188" t="s">
        <v>1604</v>
      </c>
      <c r="D1" s="189"/>
      <c r="E1" s="189"/>
    </row>
    <row r="2" spans="1:18" ht="30" x14ac:dyDescent="0.2">
      <c r="A2" s="16" t="s">
        <v>20</v>
      </c>
      <c r="B2" s="16" t="s">
        <v>47</v>
      </c>
      <c r="C2" s="16" t="s">
        <v>46</v>
      </c>
      <c r="D2" s="16" t="s">
        <v>48</v>
      </c>
      <c r="E2" s="16" t="s">
        <v>9</v>
      </c>
      <c r="F2" s="19" t="s">
        <v>18</v>
      </c>
      <c r="G2" s="19" t="s">
        <v>11</v>
      </c>
      <c r="H2" s="19" t="s">
        <v>10</v>
      </c>
      <c r="I2" s="24" t="s">
        <v>8</v>
      </c>
      <c r="J2" s="22" t="s">
        <v>12</v>
      </c>
      <c r="K2" s="22" t="s">
        <v>15</v>
      </c>
      <c r="L2" s="22" t="s">
        <v>17</v>
      </c>
      <c r="M2" s="19" t="s">
        <v>77</v>
      </c>
      <c r="N2" s="22" t="s">
        <v>13</v>
      </c>
      <c r="O2" s="22" t="s">
        <v>14</v>
      </c>
      <c r="P2" s="19" t="s">
        <v>49</v>
      </c>
      <c r="Q2" s="16" t="s">
        <v>50</v>
      </c>
      <c r="R2" s="16" t="s">
        <v>343</v>
      </c>
    </row>
    <row r="3" spans="1:18" ht="75" x14ac:dyDescent="0.2">
      <c r="A3" s="109" t="s">
        <v>1511</v>
      </c>
      <c r="B3" s="102">
        <v>400109</v>
      </c>
      <c r="C3" s="102">
        <v>1080584758</v>
      </c>
      <c r="D3" s="102" t="s">
        <v>1646</v>
      </c>
      <c r="E3" s="108" t="s">
        <v>1541</v>
      </c>
      <c r="F3" s="104" t="s">
        <v>1542</v>
      </c>
      <c r="G3" s="105">
        <v>41848</v>
      </c>
      <c r="H3" s="105">
        <v>41960</v>
      </c>
      <c r="I3" s="155">
        <f t="shared" ref="I3:I34" ca="1" si="0">IF(H3&lt;&gt;0,NETWORKDAYS(TODAY(),H3),"")</f>
        <v>12</v>
      </c>
      <c r="J3" s="105">
        <v>41716</v>
      </c>
      <c r="K3" s="105">
        <v>41863</v>
      </c>
      <c r="L3" s="105" t="s">
        <v>89</v>
      </c>
      <c r="M3" s="105" t="s">
        <v>89</v>
      </c>
      <c r="N3" s="105">
        <v>41864</v>
      </c>
      <c r="O3" s="105" t="s">
        <v>1067</v>
      </c>
      <c r="P3" s="105"/>
      <c r="Q3" s="108"/>
      <c r="R3" s="102"/>
    </row>
    <row r="4" spans="1:18" ht="105" x14ac:dyDescent="0.2">
      <c r="A4" s="109" t="s">
        <v>1518</v>
      </c>
      <c r="B4" s="102">
        <v>400143</v>
      </c>
      <c r="C4" s="102">
        <v>1080584184</v>
      </c>
      <c r="D4" s="102" t="s">
        <v>1593</v>
      </c>
      <c r="E4" s="108" t="s">
        <v>1550</v>
      </c>
      <c r="F4" s="104" t="s">
        <v>184</v>
      </c>
      <c r="G4" s="105">
        <v>41856</v>
      </c>
      <c r="H4" s="105">
        <v>42233</v>
      </c>
      <c r="I4" s="155">
        <f t="shared" ca="1" si="0"/>
        <v>207</v>
      </c>
      <c r="J4" s="105" t="s">
        <v>1574</v>
      </c>
      <c r="K4" s="105" t="s">
        <v>1749</v>
      </c>
      <c r="L4" s="105" t="s">
        <v>1575</v>
      </c>
      <c r="M4" s="105" t="s">
        <v>89</v>
      </c>
      <c r="N4" s="105" t="s">
        <v>1576</v>
      </c>
      <c r="O4" s="105" t="s">
        <v>1577</v>
      </c>
      <c r="P4" s="105"/>
      <c r="Q4" s="108"/>
      <c r="R4" s="102"/>
    </row>
    <row r="5" spans="1:18" ht="240" x14ac:dyDescent="0.2">
      <c r="A5" s="109" t="s">
        <v>1520</v>
      </c>
      <c r="B5" s="102">
        <v>400149</v>
      </c>
      <c r="C5" s="102">
        <v>1080584801</v>
      </c>
      <c r="D5" s="102" t="s">
        <v>1594</v>
      </c>
      <c r="E5" s="108" t="s">
        <v>1552</v>
      </c>
      <c r="F5" s="104" t="s">
        <v>184</v>
      </c>
      <c r="G5" s="105">
        <v>41857</v>
      </c>
      <c r="H5" s="105">
        <v>41988</v>
      </c>
      <c r="I5" s="155">
        <f t="shared" ca="1" si="0"/>
        <v>32</v>
      </c>
      <c r="J5" s="105" t="s">
        <v>1764</v>
      </c>
      <c r="K5" s="105" t="s">
        <v>89</v>
      </c>
      <c r="L5" s="105" t="s">
        <v>1765</v>
      </c>
      <c r="M5" s="105" t="s">
        <v>89</v>
      </c>
      <c r="N5" s="105" t="s">
        <v>1766</v>
      </c>
      <c r="O5" s="105" t="s">
        <v>1067</v>
      </c>
      <c r="P5" s="105"/>
      <c r="Q5" s="108"/>
      <c r="R5" s="102"/>
    </row>
    <row r="6" spans="1:18" ht="180" x14ac:dyDescent="0.2">
      <c r="A6" s="109" t="s">
        <v>1521</v>
      </c>
      <c r="B6" s="102">
        <v>400154</v>
      </c>
      <c r="C6" s="102">
        <v>1080584845</v>
      </c>
      <c r="D6" s="102" t="s">
        <v>677</v>
      </c>
      <c r="E6" s="108" t="s">
        <v>1615</v>
      </c>
      <c r="F6" s="104" t="s">
        <v>244</v>
      </c>
      <c r="G6" s="105">
        <v>41861</v>
      </c>
      <c r="H6" s="105">
        <v>42033</v>
      </c>
      <c r="I6" s="155">
        <f t="shared" ca="1" si="0"/>
        <v>65</v>
      </c>
      <c r="J6" s="105" t="s">
        <v>1631</v>
      </c>
      <c r="K6" s="105" t="s">
        <v>1632</v>
      </c>
      <c r="L6" s="105" t="s">
        <v>1633</v>
      </c>
      <c r="M6" s="105" t="s">
        <v>89</v>
      </c>
      <c r="N6" s="105" t="s">
        <v>1634</v>
      </c>
      <c r="O6" s="105" t="s">
        <v>1635</v>
      </c>
      <c r="P6" s="105"/>
      <c r="Q6" s="108"/>
      <c r="R6" s="102"/>
    </row>
    <row r="7" spans="1:18" ht="165" x14ac:dyDescent="0.2">
      <c r="A7" s="109" t="s">
        <v>1522</v>
      </c>
      <c r="B7" s="102">
        <v>400164</v>
      </c>
      <c r="C7" s="102" t="s">
        <v>1553</v>
      </c>
      <c r="D7" s="102" t="s">
        <v>1643</v>
      </c>
      <c r="E7" s="108" t="s">
        <v>1554</v>
      </c>
      <c r="F7" s="104" t="s">
        <v>116</v>
      </c>
      <c r="G7" s="105">
        <v>41864</v>
      </c>
      <c r="H7" s="105">
        <v>41964</v>
      </c>
      <c r="I7" s="155">
        <f t="shared" ca="1" si="0"/>
        <v>16</v>
      </c>
      <c r="J7" s="105" t="s">
        <v>1623</v>
      </c>
      <c r="K7" s="105" t="s">
        <v>1624</v>
      </c>
      <c r="L7" s="105" t="s">
        <v>1625</v>
      </c>
      <c r="M7" s="105" t="s">
        <v>1626</v>
      </c>
      <c r="N7" s="105" t="s">
        <v>1724</v>
      </c>
      <c r="O7" s="105" t="s">
        <v>1627</v>
      </c>
      <c r="P7" s="105"/>
      <c r="Q7" s="108"/>
      <c r="R7" s="102"/>
    </row>
    <row r="8" spans="1:18" ht="180" x14ac:dyDescent="0.2">
      <c r="A8" s="109" t="s">
        <v>1523</v>
      </c>
      <c r="B8" s="102">
        <v>400167</v>
      </c>
      <c r="C8" s="102" t="s">
        <v>1555</v>
      </c>
      <c r="D8" s="102" t="s">
        <v>261</v>
      </c>
      <c r="E8" s="108" t="s">
        <v>1556</v>
      </c>
      <c r="F8" s="104" t="s">
        <v>217</v>
      </c>
      <c r="G8" s="105">
        <v>41864</v>
      </c>
      <c r="H8" s="105">
        <v>42254</v>
      </c>
      <c r="I8" s="155">
        <f t="shared" ca="1" si="0"/>
        <v>222</v>
      </c>
      <c r="J8" s="105" t="s">
        <v>1578</v>
      </c>
      <c r="K8" s="105" t="s">
        <v>89</v>
      </c>
      <c r="L8" s="105" t="s">
        <v>1579</v>
      </c>
      <c r="M8" s="105" t="s">
        <v>89</v>
      </c>
      <c r="N8" s="105" t="s">
        <v>1580</v>
      </c>
      <c r="O8" s="105" t="s">
        <v>1581</v>
      </c>
      <c r="P8" s="105"/>
      <c r="Q8" s="108"/>
      <c r="R8" s="102"/>
    </row>
    <row r="9" spans="1:18" ht="120" x14ac:dyDescent="0.2">
      <c r="A9" s="109" t="s">
        <v>1524</v>
      </c>
      <c r="B9" s="102">
        <v>400176</v>
      </c>
      <c r="C9" s="102">
        <v>1080584523</v>
      </c>
      <c r="D9" s="102" t="s">
        <v>102</v>
      </c>
      <c r="E9" s="108" t="s">
        <v>1557</v>
      </c>
      <c r="F9" s="104" t="s">
        <v>103</v>
      </c>
      <c r="G9" s="105">
        <v>41870</v>
      </c>
      <c r="H9" s="105">
        <v>42016</v>
      </c>
      <c r="I9" s="155">
        <f t="shared" ca="1" si="0"/>
        <v>52</v>
      </c>
      <c r="J9" s="105">
        <v>41899</v>
      </c>
      <c r="K9" s="105" t="s">
        <v>89</v>
      </c>
      <c r="L9" s="105" t="s">
        <v>1582</v>
      </c>
      <c r="M9" s="105" t="s">
        <v>89</v>
      </c>
      <c r="N9" s="105" t="s">
        <v>89</v>
      </c>
      <c r="O9" s="105" t="s">
        <v>89</v>
      </c>
      <c r="P9" s="105"/>
      <c r="Q9" s="108"/>
      <c r="R9" s="102"/>
    </row>
    <row r="10" spans="1:18" ht="75" x14ac:dyDescent="0.2">
      <c r="A10" s="110" t="s">
        <v>1606</v>
      </c>
      <c r="B10" s="112">
        <v>400203</v>
      </c>
      <c r="C10" s="112">
        <v>1080585029</v>
      </c>
      <c r="D10" s="112" t="s">
        <v>1233</v>
      </c>
      <c r="E10" s="118" t="s">
        <v>1617</v>
      </c>
      <c r="F10" s="114" t="s">
        <v>639</v>
      </c>
      <c r="G10" s="115">
        <v>41874</v>
      </c>
      <c r="H10" s="115">
        <v>41932</v>
      </c>
      <c r="I10" s="160">
        <f t="shared" ca="1" si="0"/>
        <v>-10</v>
      </c>
      <c r="J10" s="115" t="s">
        <v>89</v>
      </c>
      <c r="K10" s="115" t="s">
        <v>89</v>
      </c>
      <c r="L10" s="115" t="s">
        <v>89</v>
      </c>
      <c r="M10" s="115" t="s">
        <v>89</v>
      </c>
      <c r="N10" s="115">
        <v>41926</v>
      </c>
      <c r="O10" s="115" t="s">
        <v>89</v>
      </c>
      <c r="P10" s="115" t="s">
        <v>128</v>
      </c>
      <c r="Q10" s="118" t="s">
        <v>1717</v>
      </c>
      <c r="R10" s="112"/>
    </row>
    <row r="11" spans="1:18" ht="150" x14ac:dyDescent="0.2">
      <c r="A11" s="109" t="s">
        <v>1607</v>
      </c>
      <c r="B11" s="102">
        <v>400208</v>
      </c>
      <c r="C11" s="102">
        <v>1080584807</v>
      </c>
      <c r="D11" s="102" t="s">
        <v>1119</v>
      </c>
      <c r="E11" s="108" t="s">
        <v>1618</v>
      </c>
      <c r="F11" s="104" t="s">
        <v>1192</v>
      </c>
      <c r="G11" s="105">
        <v>41878</v>
      </c>
      <c r="H11" s="105">
        <v>41974</v>
      </c>
      <c r="I11" s="155">
        <f t="shared" ca="1" si="0"/>
        <v>22</v>
      </c>
      <c r="J11" s="105" t="s">
        <v>89</v>
      </c>
      <c r="K11" s="105" t="s">
        <v>1725</v>
      </c>
      <c r="L11" s="105" t="s">
        <v>1662</v>
      </c>
      <c r="M11" s="105" t="s">
        <v>89</v>
      </c>
      <c r="N11" s="105" t="s">
        <v>1663</v>
      </c>
      <c r="O11" s="105" t="s">
        <v>1664</v>
      </c>
      <c r="P11" s="105"/>
      <c r="Q11" s="108"/>
      <c r="R11" s="102"/>
    </row>
    <row r="12" spans="1:18" ht="120" x14ac:dyDescent="0.2">
      <c r="A12" s="109" t="s">
        <v>1608</v>
      </c>
      <c r="B12" s="102">
        <v>400239</v>
      </c>
      <c r="C12" s="102">
        <v>100006</v>
      </c>
      <c r="D12" s="102" t="s">
        <v>110</v>
      </c>
      <c r="E12" s="108" t="s">
        <v>1619</v>
      </c>
      <c r="F12" s="104" t="s">
        <v>174</v>
      </c>
      <c r="G12" s="105">
        <v>41879</v>
      </c>
      <c r="H12" s="105">
        <v>42044</v>
      </c>
      <c r="I12" s="155">
        <f t="shared" ca="1" si="0"/>
        <v>72</v>
      </c>
      <c r="J12" s="105">
        <v>41892</v>
      </c>
      <c r="K12" s="105" t="s">
        <v>1726</v>
      </c>
      <c r="L12" s="105" t="s">
        <v>1727</v>
      </c>
      <c r="M12" s="105" t="s">
        <v>89</v>
      </c>
      <c r="N12" s="105" t="s">
        <v>1728</v>
      </c>
      <c r="O12" s="105" t="s">
        <v>207</v>
      </c>
      <c r="P12" s="105"/>
      <c r="Q12" s="108"/>
      <c r="R12" s="156" t="s">
        <v>1712</v>
      </c>
    </row>
    <row r="13" spans="1:18" ht="75" x14ac:dyDescent="0.2">
      <c r="A13" s="109" t="s">
        <v>1609</v>
      </c>
      <c r="B13" s="102">
        <v>400245</v>
      </c>
      <c r="C13" s="102">
        <v>100168</v>
      </c>
      <c r="D13" s="102" t="s">
        <v>1641</v>
      </c>
      <c r="E13" s="108" t="s">
        <v>1620</v>
      </c>
      <c r="F13" s="104" t="s">
        <v>174</v>
      </c>
      <c r="G13" s="105">
        <v>41884</v>
      </c>
      <c r="H13" s="105">
        <v>41985</v>
      </c>
      <c r="I13" s="155">
        <f t="shared" ca="1" si="0"/>
        <v>31</v>
      </c>
      <c r="J13" s="105" t="s">
        <v>1677</v>
      </c>
      <c r="K13" s="105" t="s">
        <v>1639</v>
      </c>
      <c r="L13" s="105" t="s">
        <v>1662</v>
      </c>
      <c r="M13" s="105" t="s">
        <v>89</v>
      </c>
      <c r="N13" s="105" t="s">
        <v>1678</v>
      </c>
      <c r="O13" s="105" t="s">
        <v>1640</v>
      </c>
      <c r="P13" s="105"/>
      <c r="Q13" s="108"/>
      <c r="R13" s="102"/>
    </row>
    <row r="14" spans="1:18" ht="90" x14ac:dyDescent="0.2">
      <c r="A14" s="109" t="s">
        <v>1610</v>
      </c>
      <c r="B14" s="102">
        <v>400247</v>
      </c>
      <c r="C14" s="102">
        <v>1080581520</v>
      </c>
      <c r="D14" s="102" t="s">
        <v>338</v>
      </c>
      <c r="E14" s="108" t="s">
        <v>1621</v>
      </c>
      <c r="F14" s="104" t="s">
        <v>1622</v>
      </c>
      <c r="G14" s="105">
        <v>41885</v>
      </c>
      <c r="H14" s="105"/>
      <c r="I14" s="155" t="str">
        <f t="shared" ca="1" si="0"/>
        <v/>
      </c>
      <c r="J14" s="105" t="s">
        <v>1636</v>
      </c>
      <c r="K14" s="105" t="s">
        <v>89</v>
      </c>
      <c r="L14" s="105" t="s">
        <v>289</v>
      </c>
      <c r="M14" s="105" t="s">
        <v>89</v>
      </c>
      <c r="N14" s="105" t="s">
        <v>104</v>
      </c>
      <c r="O14" s="105" t="s">
        <v>89</v>
      </c>
      <c r="P14" s="105"/>
      <c r="Q14" s="108"/>
      <c r="R14" s="102"/>
    </row>
    <row r="15" spans="1:18" ht="60" x14ac:dyDescent="0.2">
      <c r="A15" s="109" t="s">
        <v>1665</v>
      </c>
      <c r="B15" s="102">
        <v>400249</v>
      </c>
      <c r="C15" s="102">
        <v>1080584771</v>
      </c>
      <c r="D15" s="102"/>
      <c r="E15" s="108" t="s">
        <v>1667</v>
      </c>
      <c r="F15" s="104" t="s">
        <v>335</v>
      </c>
      <c r="G15" s="105">
        <v>41901</v>
      </c>
      <c r="H15" s="105">
        <v>41985</v>
      </c>
      <c r="I15" s="155">
        <f t="shared" ca="1" si="0"/>
        <v>31</v>
      </c>
      <c r="J15" s="105" t="s">
        <v>89</v>
      </c>
      <c r="K15" s="105" t="s">
        <v>1697</v>
      </c>
      <c r="L15" s="105" t="s">
        <v>89</v>
      </c>
      <c r="M15" s="105" t="s">
        <v>89</v>
      </c>
      <c r="N15" s="105" t="s">
        <v>1680</v>
      </c>
      <c r="O15" s="105" t="s">
        <v>1640</v>
      </c>
      <c r="P15" s="105"/>
      <c r="Q15" s="108"/>
      <c r="R15" s="102"/>
    </row>
    <row r="16" spans="1:18" ht="60" x14ac:dyDescent="0.2">
      <c r="A16" s="109" t="s">
        <v>1668</v>
      </c>
      <c r="B16" s="102">
        <v>400311</v>
      </c>
      <c r="C16" s="102">
        <v>1080584567</v>
      </c>
      <c r="D16" s="102"/>
      <c r="E16" s="108" t="s">
        <v>1669</v>
      </c>
      <c r="F16" s="104" t="s">
        <v>181</v>
      </c>
      <c r="G16" s="105">
        <v>41905</v>
      </c>
      <c r="H16" s="105">
        <v>41988</v>
      </c>
      <c r="I16" s="155">
        <f t="shared" ca="1" si="0"/>
        <v>32</v>
      </c>
      <c r="J16" s="105">
        <v>41935</v>
      </c>
      <c r="K16" s="105" t="s">
        <v>1729</v>
      </c>
      <c r="L16" s="105" t="s">
        <v>1730</v>
      </c>
      <c r="M16" s="105" t="s">
        <v>89</v>
      </c>
      <c r="N16" s="105" t="s">
        <v>1731</v>
      </c>
      <c r="O16" s="105" t="s">
        <v>207</v>
      </c>
      <c r="P16" s="105"/>
      <c r="Q16" s="108"/>
      <c r="R16" s="102"/>
    </row>
    <row r="17" spans="1:18" ht="135" x14ac:dyDescent="0.2">
      <c r="A17" s="109" t="s">
        <v>1670</v>
      </c>
      <c r="B17" s="102">
        <v>400320</v>
      </c>
      <c r="C17" s="102">
        <v>1080584881</v>
      </c>
      <c r="D17" s="102"/>
      <c r="E17" s="108" t="s">
        <v>1673</v>
      </c>
      <c r="F17" s="104" t="s">
        <v>1674</v>
      </c>
      <c r="G17" s="105">
        <v>41909</v>
      </c>
      <c r="H17" s="105">
        <v>41988</v>
      </c>
      <c r="I17" s="155">
        <f t="shared" ca="1" si="0"/>
        <v>32</v>
      </c>
      <c r="J17" s="105" t="s">
        <v>89</v>
      </c>
      <c r="K17" s="105" t="s">
        <v>1681</v>
      </c>
      <c r="L17" s="105" t="s">
        <v>1682</v>
      </c>
      <c r="M17" s="105" t="s">
        <v>89</v>
      </c>
      <c r="N17" s="105" t="s">
        <v>1683</v>
      </c>
      <c r="O17" s="105" t="s">
        <v>1684</v>
      </c>
      <c r="P17" s="105"/>
      <c r="Q17" s="108"/>
      <c r="R17" s="102"/>
    </row>
    <row r="18" spans="1:18" ht="75" x14ac:dyDescent="0.2">
      <c r="A18" s="109" t="s">
        <v>1671</v>
      </c>
      <c r="B18" s="102">
        <v>400321</v>
      </c>
      <c r="C18" s="102">
        <v>1080584881</v>
      </c>
      <c r="D18" s="102"/>
      <c r="E18" s="108" t="s">
        <v>1675</v>
      </c>
      <c r="F18" s="104" t="s">
        <v>215</v>
      </c>
      <c r="G18" s="105">
        <v>41909</v>
      </c>
      <c r="H18" s="105">
        <v>41960</v>
      </c>
      <c r="I18" s="155">
        <f t="shared" ca="1" si="0"/>
        <v>12</v>
      </c>
      <c r="J18" s="105" t="s">
        <v>89</v>
      </c>
      <c r="K18" s="105" t="s">
        <v>1744</v>
      </c>
      <c r="L18" s="105" t="s">
        <v>89</v>
      </c>
      <c r="M18" s="105" t="s">
        <v>89</v>
      </c>
      <c r="N18" s="105" t="s">
        <v>1745</v>
      </c>
      <c r="O18" s="105" t="s">
        <v>153</v>
      </c>
      <c r="P18" s="105"/>
      <c r="Q18" s="108"/>
      <c r="R18" s="102"/>
    </row>
    <row r="19" spans="1:18" ht="105" x14ac:dyDescent="0.2">
      <c r="A19" s="109" t="s">
        <v>1672</v>
      </c>
      <c r="B19" s="102">
        <v>400323</v>
      </c>
      <c r="C19" s="102">
        <v>1080585103</v>
      </c>
      <c r="D19" s="102"/>
      <c r="E19" s="108" t="s">
        <v>1676</v>
      </c>
      <c r="F19" s="104" t="s">
        <v>294</v>
      </c>
      <c r="G19" s="105">
        <v>41910</v>
      </c>
      <c r="H19" s="105"/>
      <c r="I19" s="155" t="str">
        <f t="shared" ca="1" si="0"/>
        <v/>
      </c>
      <c r="J19" s="105" t="s">
        <v>89</v>
      </c>
      <c r="K19" s="105" t="s">
        <v>112</v>
      </c>
      <c r="L19" s="105" t="s">
        <v>89</v>
      </c>
      <c r="M19" s="105" t="s">
        <v>89</v>
      </c>
      <c r="N19" s="105" t="s">
        <v>113</v>
      </c>
      <c r="O19" s="105" t="s">
        <v>1067</v>
      </c>
      <c r="P19" s="105"/>
      <c r="Q19" s="108"/>
      <c r="R19" s="102"/>
    </row>
    <row r="20" spans="1:18" ht="90" x14ac:dyDescent="0.2">
      <c r="A20" s="109" t="s">
        <v>1690</v>
      </c>
      <c r="B20" s="102">
        <v>400367</v>
      </c>
      <c r="C20" s="102">
        <v>1080585026</v>
      </c>
      <c r="D20" s="102"/>
      <c r="E20" s="108" t="s">
        <v>1692</v>
      </c>
      <c r="F20" s="104" t="s">
        <v>639</v>
      </c>
      <c r="G20" s="105">
        <v>41926</v>
      </c>
      <c r="H20" s="105">
        <v>42023</v>
      </c>
      <c r="I20" s="155">
        <f t="shared" ca="1" si="0"/>
        <v>57</v>
      </c>
      <c r="J20" s="105" t="s">
        <v>1732</v>
      </c>
      <c r="K20" s="105">
        <v>41942</v>
      </c>
      <c r="L20" s="105" t="s">
        <v>1733</v>
      </c>
      <c r="M20" s="105" t="s">
        <v>89</v>
      </c>
      <c r="N20" s="105" t="s">
        <v>1734</v>
      </c>
      <c r="O20" s="105" t="s">
        <v>153</v>
      </c>
      <c r="P20" s="105"/>
      <c r="Q20" s="108"/>
      <c r="R20" s="102"/>
    </row>
    <row r="21" spans="1:18" ht="90" x14ac:dyDescent="0.2">
      <c r="A21" s="109" t="s">
        <v>1691</v>
      </c>
      <c r="B21" s="102">
        <v>400370</v>
      </c>
      <c r="C21" s="102">
        <v>1080584529</v>
      </c>
      <c r="D21" s="102"/>
      <c r="E21" s="108" t="s">
        <v>1693</v>
      </c>
      <c r="F21" s="104" t="s">
        <v>1694</v>
      </c>
      <c r="G21" s="105">
        <v>41916</v>
      </c>
      <c r="H21" s="105"/>
      <c r="I21" s="155" t="str">
        <f t="shared" ca="1" si="0"/>
        <v/>
      </c>
      <c r="J21" s="105" t="s">
        <v>89</v>
      </c>
      <c r="K21" s="105" t="s">
        <v>1583</v>
      </c>
      <c r="L21" s="105" t="s">
        <v>171</v>
      </c>
      <c r="M21" s="105" t="s">
        <v>89</v>
      </c>
      <c r="N21" s="105" t="s">
        <v>1048</v>
      </c>
      <c r="O21" s="105" t="s">
        <v>207</v>
      </c>
      <c r="P21" s="105"/>
      <c r="Q21" s="108"/>
      <c r="R21" s="102"/>
    </row>
    <row r="22" spans="1:18" ht="135" x14ac:dyDescent="0.2">
      <c r="A22" s="109" t="s">
        <v>1695</v>
      </c>
      <c r="B22" s="102">
        <v>400384</v>
      </c>
      <c r="C22" s="102">
        <v>100016</v>
      </c>
      <c r="D22" s="102"/>
      <c r="E22" s="108" t="s">
        <v>1696</v>
      </c>
      <c r="F22" s="104" t="s">
        <v>294</v>
      </c>
      <c r="G22" s="105">
        <v>41921</v>
      </c>
      <c r="H22" s="105">
        <v>41978</v>
      </c>
      <c r="I22" s="155">
        <f t="shared" ca="1" si="0"/>
        <v>26</v>
      </c>
      <c r="J22" s="105">
        <v>41925</v>
      </c>
      <c r="K22" s="105" t="s">
        <v>1735</v>
      </c>
      <c r="L22" s="105" t="s">
        <v>1736</v>
      </c>
      <c r="M22" s="105" t="s">
        <v>89</v>
      </c>
      <c r="N22" s="105" t="s">
        <v>1737</v>
      </c>
      <c r="O22" s="105" t="s">
        <v>1067</v>
      </c>
      <c r="P22" s="105"/>
      <c r="Q22" s="108"/>
      <c r="R22" s="102"/>
    </row>
    <row r="23" spans="1:18" ht="120" x14ac:dyDescent="0.2">
      <c r="A23" s="109" t="s">
        <v>1715</v>
      </c>
      <c r="B23" s="102">
        <v>400409</v>
      </c>
      <c r="C23" s="102">
        <v>100055</v>
      </c>
      <c r="D23" s="102"/>
      <c r="E23" s="108" t="s">
        <v>1723</v>
      </c>
      <c r="F23" s="104" t="s">
        <v>258</v>
      </c>
      <c r="G23" s="105">
        <v>41928</v>
      </c>
      <c r="H23" s="105">
        <v>41967</v>
      </c>
      <c r="I23" s="155">
        <f t="shared" ca="1" si="0"/>
        <v>17</v>
      </c>
      <c r="J23" s="105" t="s">
        <v>1772</v>
      </c>
      <c r="K23" s="105" t="s">
        <v>1773</v>
      </c>
      <c r="L23" s="105" t="s">
        <v>1774</v>
      </c>
      <c r="M23" s="105" t="s">
        <v>89</v>
      </c>
      <c r="N23" s="105" t="s">
        <v>1775</v>
      </c>
      <c r="O23" s="105" t="s">
        <v>1067</v>
      </c>
      <c r="P23" s="105"/>
      <c r="Q23" s="108"/>
      <c r="R23" s="102"/>
    </row>
    <row r="24" spans="1:18" ht="75" x14ac:dyDescent="0.2">
      <c r="A24" s="109" t="s">
        <v>1742</v>
      </c>
      <c r="B24" s="102">
        <v>400411</v>
      </c>
      <c r="C24" s="102">
        <v>100310</v>
      </c>
      <c r="D24" s="102"/>
      <c r="E24" s="108" t="s">
        <v>1743</v>
      </c>
      <c r="F24" s="104" t="s">
        <v>215</v>
      </c>
      <c r="G24" s="105">
        <v>41929</v>
      </c>
      <c r="H24" s="105">
        <v>41960</v>
      </c>
      <c r="I24" s="155">
        <f t="shared" ca="1" si="0"/>
        <v>12</v>
      </c>
      <c r="J24" s="105" t="s">
        <v>89</v>
      </c>
      <c r="K24" s="105" t="s">
        <v>1744</v>
      </c>
      <c r="L24" s="105" t="s">
        <v>89</v>
      </c>
      <c r="M24" s="105" t="s">
        <v>89</v>
      </c>
      <c r="N24" s="105" t="s">
        <v>1745</v>
      </c>
      <c r="O24" s="105" t="s">
        <v>153</v>
      </c>
      <c r="P24" s="105"/>
      <c r="Q24" s="108"/>
      <c r="R24" s="102"/>
    </row>
    <row r="25" spans="1:18" ht="120" x14ac:dyDescent="0.2">
      <c r="A25" s="109" t="s">
        <v>1746</v>
      </c>
      <c r="B25" s="102">
        <v>400413</v>
      </c>
      <c r="C25" s="102">
        <v>100116</v>
      </c>
      <c r="D25" s="102"/>
      <c r="E25" s="108" t="s">
        <v>1748</v>
      </c>
      <c r="F25" s="104" t="s">
        <v>244</v>
      </c>
      <c r="G25" s="105">
        <v>41929</v>
      </c>
      <c r="H25" s="105">
        <v>42009</v>
      </c>
      <c r="I25" s="155">
        <f t="shared" ca="1" si="0"/>
        <v>47</v>
      </c>
      <c r="J25" s="105" t="s">
        <v>1776</v>
      </c>
      <c r="K25" s="105" t="s">
        <v>1773</v>
      </c>
      <c r="L25" s="105" t="s">
        <v>1777</v>
      </c>
      <c r="M25" s="105" t="s">
        <v>89</v>
      </c>
      <c r="N25" s="105" t="s">
        <v>1778</v>
      </c>
      <c r="O25" s="105" t="s">
        <v>1067</v>
      </c>
      <c r="P25" s="105"/>
      <c r="Q25" s="108"/>
      <c r="R25" s="102"/>
    </row>
    <row r="26" spans="1:18" ht="105" x14ac:dyDescent="0.2">
      <c r="A26" s="109" t="s">
        <v>1754</v>
      </c>
      <c r="B26" s="102">
        <v>400434</v>
      </c>
      <c r="C26" s="102">
        <v>100197</v>
      </c>
      <c r="D26" s="102"/>
      <c r="E26" s="108" t="s">
        <v>1757</v>
      </c>
      <c r="F26" s="104" t="s">
        <v>1758</v>
      </c>
      <c r="G26" s="105">
        <v>41935</v>
      </c>
      <c r="H26" s="105">
        <v>41974</v>
      </c>
      <c r="I26" s="155">
        <f t="shared" ca="1" si="0"/>
        <v>22</v>
      </c>
      <c r="J26" s="105" t="s">
        <v>89</v>
      </c>
      <c r="K26" s="105" t="s">
        <v>1759</v>
      </c>
      <c r="L26" s="105" t="s">
        <v>89</v>
      </c>
      <c r="M26" s="105" t="s">
        <v>89</v>
      </c>
      <c r="N26" s="105" t="s">
        <v>1760</v>
      </c>
      <c r="O26" s="105" t="s">
        <v>207</v>
      </c>
      <c r="P26" s="105"/>
      <c r="Q26" s="108"/>
      <c r="R26" s="102"/>
    </row>
    <row r="27" spans="1:18" ht="300" x14ac:dyDescent="0.2">
      <c r="A27" s="109" t="s">
        <v>1755</v>
      </c>
      <c r="B27" s="102">
        <v>400435</v>
      </c>
      <c r="C27" s="102">
        <v>100115</v>
      </c>
      <c r="D27" s="102"/>
      <c r="E27" s="108" t="s">
        <v>1770</v>
      </c>
      <c r="F27" s="104" t="s">
        <v>244</v>
      </c>
      <c r="G27" s="105">
        <v>41929</v>
      </c>
      <c r="H27" s="105">
        <v>42009</v>
      </c>
      <c r="I27" s="155">
        <f t="shared" ca="1" si="0"/>
        <v>47</v>
      </c>
      <c r="J27" s="105" t="s">
        <v>1776</v>
      </c>
      <c r="K27" s="105" t="s">
        <v>1779</v>
      </c>
      <c r="L27" s="105" t="s">
        <v>1780</v>
      </c>
      <c r="M27" s="105" t="s">
        <v>89</v>
      </c>
      <c r="N27" s="105" t="s">
        <v>1778</v>
      </c>
      <c r="O27" s="105" t="s">
        <v>1067</v>
      </c>
      <c r="P27" s="105"/>
      <c r="Q27" s="108"/>
      <c r="R27" s="102"/>
    </row>
    <row r="28" spans="1:18" ht="75" x14ac:dyDescent="0.2">
      <c r="A28" s="109" t="s">
        <v>114</v>
      </c>
      <c r="B28" s="102">
        <v>1080580655</v>
      </c>
      <c r="C28" s="102">
        <v>1080579578</v>
      </c>
      <c r="D28" s="102" t="s">
        <v>102</v>
      </c>
      <c r="E28" s="156" t="s">
        <v>1525</v>
      </c>
      <c r="F28" s="104" t="s">
        <v>103</v>
      </c>
      <c r="G28" s="105">
        <v>41051</v>
      </c>
      <c r="H28" s="163">
        <v>41470</v>
      </c>
      <c r="I28" s="155">
        <f t="shared" ca="1" si="0"/>
        <v>-340</v>
      </c>
      <c r="J28" s="105" t="s">
        <v>89</v>
      </c>
      <c r="K28" s="105" t="s">
        <v>89</v>
      </c>
      <c r="L28" s="105" t="s">
        <v>89</v>
      </c>
      <c r="M28" s="105" t="s">
        <v>89</v>
      </c>
      <c r="N28" s="105" t="s">
        <v>104</v>
      </c>
      <c r="O28" s="105" t="s">
        <v>89</v>
      </c>
      <c r="P28" s="105"/>
      <c r="Q28" s="108"/>
      <c r="R28" s="156" t="s">
        <v>1599</v>
      </c>
    </row>
    <row r="29" spans="1:18" ht="90" x14ac:dyDescent="0.2">
      <c r="A29" s="109" t="s">
        <v>137</v>
      </c>
      <c r="B29" s="102">
        <v>1080581135</v>
      </c>
      <c r="C29" s="102" t="s">
        <v>138</v>
      </c>
      <c r="D29" s="102" t="s">
        <v>139</v>
      </c>
      <c r="E29" s="156" t="s">
        <v>1526</v>
      </c>
      <c r="F29" s="104" t="s">
        <v>140</v>
      </c>
      <c r="G29" s="105">
        <v>41136</v>
      </c>
      <c r="H29" s="106">
        <v>41453</v>
      </c>
      <c r="I29" s="155">
        <f t="shared" ca="1" si="0"/>
        <v>-351</v>
      </c>
      <c r="J29" s="105">
        <v>41352</v>
      </c>
      <c r="K29" s="105">
        <v>41480</v>
      </c>
      <c r="L29" s="105" t="s">
        <v>89</v>
      </c>
      <c r="M29" s="105" t="s">
        <v>89</v>
      </c>
      <c r="N29" s="105" t="s">
        <v>104</v>
      </c>
      <c r="O29" s="105">
        <v>41722</v>
      </c>
      <c r="P29" s="105"/>
      <c r="Q29" s="108"/>
      <c r="R29" s="156" t="s">
        <v>1598</v>
      </c>
    </row>
    <row r="30" spans="1:18" ht="409.5" x14ac:dyDescent="0.2">
      <c r="A30" s="164" t="s">
        <v>144</v>
      </c>
      <c r="B30" s="102">
        <v>1080581250</v>
      </c>
      <c r="C30" s="102">
        <v>1080580962</v>
      </c>
      <c r="D30" s="102" t="s">
        <v>122</v>
      </c>
      <c r="E30" s="156" t="s">
        <v>961</v>
      </c>
      <c r="F30" s="104" t="s">
        <v>111</v>
      </c>
      <c r="G30" s="105">
        <v>41149</v>
      </c>
      <c r="H30" s="163">
        <v>41400</v>
      </c>
      <c r="I30" s="155">
        <f t="shared" ca="1" si="0"/>
        <v>-390</v>
      </c>
      <c r="J30" s="105" t="s">
        <v>89</v>
      </c>
      <c r="K30" s="105">
        <v>41449</v>
      </c>
      <c r="L30" s="105" t="s">
        <v>89</v>
      </c>
      <c r="M30" s="105" t="s">
        <v>89</v>
      </c>
      <c r="N30" s="105" t="s">
        <v>113</v>
      </c>
      <c r="O30" s="105">
        <v>41764</v>
      </c>
      <c r="P30" s="105"/>
      <c r="Q30" s="108"/>
      <c r="R30" s="102"/>
    </row>
    <row r="31" spans="1:18" ht="60" x14ac:dyDescent="0.2">
      <c r="A31" s="165" t="s">
        <v>164</v>
      </c>
      <c r="B31" s="112">
        <v>1080581555</v>
      </c>
      <c r="C31" s="112" t="s">
        <v>1313</v>
      </c>
      <c r="D31" s="112" t="s">
        <v>118</v>
      </c>
      <c r="E31" s="161" t="s">
        <v>903</v>
      </c>
      <c r="F31" s="114" t="s">
        <v>111</v>
      </c>
      <c r="G31" s="115">
        <v>41198</v>
      </c>
      <c r="H31" s="162">
        <v>41687</v>
      </c>
      <c r="I31" s="160">
        <f t="shared" ca="1" si="0"/>
        <v>-185</v>
      </c>
      <c r="J31" s="115">
        <v>41212</v>
      </c>
      <c r="K31" s="115">
        <v>41701</v>
      </c>
      <c r="L31" s="115">
        <v>41330</v>
      </c>
      <c r="M31" s="115" t="s">
        <v>89</v>
      </c>
      <c r="N31" s="115">
        <v>41557</v>
      </c>
      <c r="O31" s="115" t="s">
        <v>89</v>
      </c>
      <c r="P31" s="115" t="s">
        <v>128</v>
      </c>
      <c r="Q31" s="118" t="s">
        <v>1434</v>
      </c>
      <c r="R31" s="112"/>
    </row>
    <row r="32" spans="1:18" ht="75" x14ac:dyDescent="0.2">
      <c r="A32" s="164" t="s">
        <v>175</v>
      </c>
      <c r="B32" s="102">
        <v>1080581932</v>
      </c>
      <c r="C32" s="102">
        <v>1080581851</v>
      </c>
      <c r="D32" s="102" t="s">
        <v>176</v>
      </c>
      <c r="E32" s="156" t="s">
        <v>1527</v>
      </c>
      <c r="F32" s="104" t="s">
        <v>146</v>
      </c>
      <c r="G32" s="105">
        <v>41254</v>
      </c>
      <c r="H32" s="163">
        <v>41400</v>
      </c>
      <c r="I32" s="155">
        <f t="shared" ca="1" si="0"/>
        <v>-390</v>
      </c>
      <c r="J32" s="105" t="s">
        <v>89</v>
      </c>
      <c r="K32" s="105" t="s">
        <v>89</v>
      </c>
      <c r="L32" s="105" t="s">
        <v>89</v>
      </c>
      <c r="M32" s="105" t="s">
        <v>89</v>
      </c>
      <c r="N32" s="105" t="s">
        <v>104</v>
      </c>
      <c r="O32" s="105" t="s">
        <v>89</v>
      </c>
      <c r="P32" s="105"/>
      <c r="Q32" s="108"/>
      <c r="R32" s="156" t="s">
        <v>1596</v>
      </c>
    </row>
    <row r="33" spans="1:18" ht="195" x14ac:dyDescent="0.2">
      <c r="A33" s="164" t="s">
        <v>189</v>
      </c>
      <c r="B33" s="102">
        <v>1080582558</v>
      </c>
      <c r="C33" s="102">
        <v>1080580947</v>
      </c>
      <c r="D33" s="102" t="s">
        <v>134</v>
      </c>
      <c r="E33" s="156" t="s">
        <v>1528</v>
      </c>
      <c r="F33" s="104" t="s">
        <v>190</v>
      </c>
      <c r="G33" s="105">
        <v>41367</v>
      </c>
      <c r="H33" s="163">
        <v>41390</v>
      </c>
      <c r="I33" s="155">
        <f t="shared" ca="1" si="0"/>
        <v>-396</v>
      </c>
      <c r="J33" s="105" t="s">
        <v>89</v>
      </c>
      <c r="K33" s="105">
        <v>41199</v>
      </c>
      <c r="L33" s="105" t="s">
        <v>89</v>
      </c>
      <c r="M33" s="105" t="s">
        <v>89</v>
      </c>
      <c r="N33" s="105" t="s">
        <v>104</v>
      </c>
      <c r="O33" s="105">
        <v>41399</v>
      </c>
      <c r="P33" s="105"/>
      <c r="Q33" s="108"/>
      <c r="R33" s="156" t="s">
        <v>1595</v>
      </c>
    </row>
    <row r="34" spans="1:18" ht="105" x14ac:dyDescent="0.2">
      <c r="A34" s="164" t="s">
        <v>192</v>
      </c>
      <c r="B34" s="102">
        <v>1080582573</v>
      </c>
      <c r="C34" s="102">
        <v>1080581081</v>
      </c>
      <c r="D34" s="102" t="s">
        <v>134</v>
      </c>
      <c r="E34" s="156" t="s">
        <v>1529</v>
      </c>
      <c r="F34" s="104" t="s">
        <v>184</v>
      </c>
      <c r="G34" s="105">
        <v>41372</v>
      </c>
      <c r="H34" s="163">
        <v>41502</v>
      </c>
      <c r="I34" s="155">
        <f t="shared" ca="1" si="0"/>
        <v>-316</v>
      </c>
      <c r="J34" s="105" t="s">
        <v>89</v>
      </c>
      <c r="K34" s="105" t="s">
        <v>89</v>
      </c>
      <c r="L34" s="105">
        <v>41383</v>
      </c>
      <c r="M34" s="105" t="s">
        <v>89</v>
      </c>
      <c r="N34" s="105" t="s">
        <v>104</v>
      </c>
      <c r="O34" s="105" t="s">
        <v>89</v>
      </c>
      <c r="P34" s="105"/>
      <c r="Q34" s="108"/>
      <c r="R34" s="156" t="s">
        <v>1600</v>
      </c>
    </row>
    <row r="35" spans="1:18" ht="90" x14ac:dyDescent="0.2">
      <c r="A35" s="164" t="s">
        <v>193</v>
      </c>
      <c r="B35" s="102">
        <v>1080582594</v>
      </c>
      <c r="C35" s="102">
        <v>1080581219</v>
      </c>
      <c r="D35" s="102" t="s">
        <v>134</v>
      </c>
      <c r="E35" s="156" t="s">
        <v>1530</v>
      </c>
      <c r="F35" s="104" t="s">
        <v>174</v>
      </c>
      <c r="G35" s="105">
        <v>41374</v>
      </c>
      <c r="H35" s="163">
        <v>41411</v>
      </c>
      <c r="I35" s="155">
        <f t="shared" ref="I35:I66" ca="1" si="1">IF(H35&lt;&gt;0,NETWORKDAYS(TODAY(),H35),"")</f>
        <v>-381</v>
      </c>
      <c r="J35" s="105" t="s">
        <v>89</v>
      </c>
      <c r="K35" s="105" t="s">
        <v>89</v>
      </c>
      <c r="L35" s="105" t="s">
        <v>89</v>
      </c>
      <c r="M35" s="105" t="s">
        <v>89</v>
      </c>
      <c r="N35" s="105" t="s">
        <v>104</v>
      </c>
      <c r="O35" s="105" t="s">
        <v>89</v>
      </c>
      <c r="P35" s="105"/>
      <c r="Q35" s="108"/>
      <c r="R35" s="156" t="s">
        <v>1597</v>
      </c>
    </row>
    <row r="36" spans="1:18" ht="90" x14ac:dyDescent="0.2">
      <c r="A36" s="165" t="s">
        <v>200</v>
      </c>
      <c r="B36" s="112">
        <v>1080582684</v>
      </c>
      <c r="C36" s="112">
        <v>1080581316</v>
      </c>
      <c r="D36" s="112" t="s">
        <v>201</v>
      </c>
      <c r="E36" s="161" t="s">
        <v>1016</v>
      </c>
      <c r="F36" s="114" t="s">
        <v>111</v>
      </c>
      <c r="G36" s="115">
        <v>41388</v>
      </c>
      <c r="H36" s="162">
        <v>41701</v>
      </c>
      <c r="I36" s="160">
        <f t="shared" ca="1" si="1"/>
        <v>-175</v>
      </c>
      <c r="J36" s="115">
        <v>41668</v>
      </c>
      <c r="K36" s="115">
        <v>41774</v>
      </c>
      <c r="L36" s="115" t="s">
        <v>89</v>
      </c>
      <c r="M36" s="115" t="s">
        <v>89</v>
      </c>
      <c r="N36" s="115">
        <v>41774</v>
      </c>
      <c r="O36" s="115">
        <v>41657</v>
      </c>
      <c r="P36" s="115" t="s">
        <v>128</v>
      </c>
      <c r="Q36" s="118" t="s">
        <v>1752</v>
      </c>
      <c r="R36" s="112"/>
    </row>
    <row r="37" spans="1:18" ht="150" x14ac:dyDescent="0.2">
      <c r="A37" s="165" t="s">
        <v>222</v>
      </c>
      <c r="B37" s="112">
        <v>1080582832</v>
      </c>
      <c r="C37" s="112">
        <v>1080580877</v>
      </c>
      <c r="D37" s="112" t="s">
        <v>221</v>
      </c>
      <c r="E37" s="161" t="s">
        <v>1445</v>
      </c>
      <c r="F37" s="114" t="s">
        <v>135</v>
      </c>
      <c r="G37" s="115">
        <v>41409</v>
      </c>
      <c r="H37" s="162">
        <v>41523</v>
      </c>
      <c r="I37" s="160">
        <f t="shared" ca="1" si="1"/>
        <v>-301</v>
      </c>
      <c r="J37" s="115" t="s">
        <v>89</v>
      </c>
      <c r="K37" s="115" t="s">
        <v>89</v>
      </c>
      <c r="L37" s="115" t="s">
        <v>89</v>
      </c>
      <c r="M37" s="115" t="s">
        <v>89</v>
      </c>
      <c r="N37" s="115">
        <v>41774</v>
      </c>
      <c r="O37" s="115" t="s">
        <v>89</v>
      </c>
      <c r="P37" s="115" t="s">
        <v>128</v>
      </c>
      <c r="Q37" s="118" t="s">
        <v>1444</v>
      </c>
      <c r="R37" s="112"/>
    </row>
    <row r="38" spans="1:18" ht="225" x14ac:dyDescent="0.2">
      <c r="A38" s="165" t="s">
        <v>226</v>
      </c>
      <c r="B38" s="112">
        <v>1080582861</v>
      </c>
      <c r="C38" s="112">
        <v>1080581370</v>
      </c>
      <c r="D38" s="112" t="s">
        <v>227</v>
      </c>
      <c r="E38" s="161" t="s">
        <v>1263</v>
      </c>
      <c r="F38" s="114" t="s">
        <v>135</v>
      </c>
      <c r="G38" s="115">
        <v>41414</v>
      </c>
      <c r="H38" s="162">
        <v>41523</v>
      </c>
      <c r="I38" s="160">
        <f t="shared" ca="1" si="1"/>
        <v>-301</v>
      </c>
      <c r="J38" s="115" t="s">
        <v>89</v>
      </c>
      <c r="K38" s="115" t="s">
        <v>89</v>
      </c>
      <c r="L38" s="115" t="s">
        <v>89</v>
      </c>
      <c r="M38" s="115" t="s">
        <v>89</v>
      </c>
      <c r="N38" s="115">
        <v>41667</v>
      </c>
      <c r="O38" s="115" t="s">
        <v>89</v>
      </c>
      <c r="P38" s="115" t="s">
        <v>128</v>
      </c>
      <c r="Q38" s="118" t="s">
        <v>1262</v>
      </c>
      <c r="R38" s="112"/>
    </row>
    <row r="39" spans="1:18" ht="240" x14ac:dyDescent="0.2">
      <c r="A39" s="165" t="s">
        <v>262</v>
      </c>
      <c r="B39" s="112">
        <v>1080583004</v>
      </c>
      <c r="C39" s="112">
        <v>1080581755</v>
      </c>
      <c r="D39" s="112" t="s">
        <v>122</v>
      </c>
      <c r="E39" s="161" t="s">
        <v>1145</v>
      </c>
      <c r="F39" s="114" t="s">
        <v>111</v>
      </c>
      <c r="G39" s="115">
        <v>41440</v>
      </c>
      <c r="H39" s="162">
        <v>41486</v>
      </c>
      <c r="I39" s="160">
        <f t="shared" ca="1" si="1"/>
        <v>-328</v>
      </c>
      <c r="J39" s="115">
        <v>41456</v>
      </c>
      <c r="K39" s="115">
        <v>41473</v>
      </c>
      <c r="L39" s="115" t="s">
        <v>89</v>
      </c>
      <c r="M39" s="115" t="s">
        <v>89</v>
      </c>
      <c r="N39" s="115">
        <v>41668</v>
      </c>
      <c r="O39" s="115" t="s">
        <v>89</v>
      </c>
      <c r="P39" s="115" t="s">
        <v>128</v>
      </c>
      <c r="Q39" s="118" t="s">
        <v>1318</v>
      </c>
      <c r="R39" s="112"/>
    </row>
    <row r="40" spans="1:18" ht="60" x14ac:dyDescent="0.2">
      <c r="A40" s="164" t="s">
        <v>263</v>
      </c>
      <c r="B40" s="102">
        <v>1080583009</v>
      </c>
      <c r="C40" s="102">
        <v>1080582087</v>
      </c>
      <c r="D40" s="102" t="s">
        <v>102</v>
      </c>
      <c r="E40" s="156" t="s">
        <v>1532</v>
      </c>
      <c r="F40" s="104" t="s">
        <v>103</v>
      </c>
      <c r="G40" s="105">
        <v>41442</v>
      </c>
      <c r="H40" s="163">
        <v>41530</v>
      </c>
      <c r="I40" s="155">
        <f t="shared" ca="1" si="1"/>
        <v>-296</v>
      </c>
      <c r="J40" s="105" t="s">
        <v>89</v>
      </c>
      <c r="K40" s="105" t="s">
        <v>89</v>
      </c>
      <c r="L40" s="105" t="s">
        <v>89</v>
      </c>
      <c r="M40" s="105" t="s">
        <v>225</v>
      </c>
      <c r="N40" s="105" t="s">
        <v>104</v>
      </c>
      <c r="O40" s="105" t="s">
        <v>89</v>
      </c>
      <c r="P40" s="105"/>
      <c r="Q40" s="108"/>
      <c r="R40" s="102"/>
    </row>
    <row r="41" spans="1:18" ht="255" x14ac:dyDescent="0.2">
      <c r="A41" s="165" t="s">
        <v>283</v>
      </c>
      <c r="B41" s="112">
        <v>1080583104</v>
      </c>
      <c r="C41" s="112">
        <v>1080582248</v>
      </c>
      <c r="D41" s="112" t="s">
        <v>139</v>
      </c>
      <c r="E41" s="161" t="s">
        <v>953</v>
      </c>
      <c r="F41" s="114" t="s">
        <v>140</v>
      </c>
      <c r="G41" s="115">
        <v>41462</v>
      </c>
      <c r="H41" s="162">
        <v>41523</v>
      </c>
      <c r="I41" s="160">
        <f t="shared" ca="1" si="1"/>
        <v>-301</v>
      </c>
      <c r="J41" s="115">
        <v>41515</v>
      </c>
      <c r="K41" s="115" t="s">
        <v>89</v>
      </c>
      <c r="L41" s="115" t="s">
        <v>89</v>
      </c>
      <c r="M41" s="115" t="s">
        <v>89</v>
      </c>
      <c r="N41" s="115">
        <v>41926</v>
      </c>
      <c r="O41" s="115" t="s">
        <v>89</v>
      </c>
      <c r="P41" s="115" t="s">
        <v>128</v>
      </c>
      <c r="Q41" s="118" t="s">
        <v>1718</v>
      </c>
      <c r="R41" s="161" t="s">
        <v>1603</v>
      </c>
    </row>
    <row r="42" spans="1:18" ht="120" x14ac:dyDescent="0.2">
      <c r="A42" s="165" t="s">
        <v>284</v>
      </c>
      <c r="B42" s="112">
        <v>1080583135</v>
      </c>
      <c r="C42" s="112">
        <v>1080581833</v>
      </c>
      <c r="D42" s="112" t="s">
        <v>677</v>
      </c>
      <c r="E42" s="161" t="s">
        <v>1019</v>
      </c>
      <c r="F42" s="114" t="s">
        <v>111</v>
      </c>
      <c r="G42" s="115">
        <v>41464</v>
      </c>
      <c r="H42" s="162">
        <v>41516</v>
      </c>
      <c r="I42" s="160">
        <f t="shared" ca="1" si="1"/>
        <v>-306</v>
      </c>
      <c r="J42" s="115" t="s">
        <v>89</v>
      </c>
      <c r="K42" s="115">
        <v>41514</v>
      </c>
      <c r="L42" s="115" t="s">
        <v>89</v>
      </c>
      <c r="M42" s="115" t="s">
        <v>89</v>
      </c>
      <c r="N42" s="115">
        <v>41689</v>
      </c>
      <c r="O42" s="115">
        <v>41502</v>
      </c>
      <c r="P42" s="115" t="s">
        <v>128</v>
      </c>
      <c r="Q42" s="118" t="s">
        <v>1408</v>
      </c>
      <c r="R42" s="112"/>
    </row>
    <row r="43" spans="1:18" ht="375" x14ac:dyDescent="0.2">
      <c r="A43" s="164" t="s">
        <v>285</v>
      </c>
      <c r="B43" s="102">
        <v>1080583157</v>
      </c>
      <c r="C43" s="102">
        <v>1080582522</v>
      </c>
      <c r="D43" s="102" t="s">
        <v>201</v>
      </c>
      <c r="E43" s="156" t="s">
        <v>934</v>
      </c>
      <c r="F43" s="104" t="s">
        <v>111</v>
      </c>
      <c r="G43" s="105">
        <v>41469</v>
      </c>
      <c r="H43" s="163">
        <v>41764</v>
      </c>
      <c r="I43" s="155">
        <f t="shared" ca="1" si="1"/>
        <v>-130</v>
      </c>
      <c r="J43" s="105">
        <v>41494</v>
      </c>
      <c r="K43" s="105">
        <v>41788</v>
      </c>
      <c r="L43" s="105" t="s">
        <v>89</v>
      </c>
      <c r="M43" s="105" t="s">
        <v>89</v>
      </c>
      <c r="N43" s="105" t="s">
        <v>113</v>
      </c>
      <c r="O43" s="105" t="s">
        <v>1067</v>
      </c>
      <c r="P43" s="105"/>
      <c r="Q43" s="108"/>
      <c r="R43" s="102"/>
    </row>
    <row r="44" spans="1:18" ht="225" x14ac:dyDescent="0.2">
      <c r="A44" s="164" t="s">
        <v>293</v>
      </c>
      <c r="B44" s="102">
        <v>1080583160</v>
      </c>
      <c r="C44" s="102">
        <v>1080582522</v>
      </c>
      <c r="D44" s="102" t="s">
        <v>201</v>
      </c>
      <c r="E44" s="156" t="s">
        <v>1155</v>
      </c>
      <c r="F44" s="104" t="s">
        <v>294</v>
      </c>
      <c r="G44" s="105">
        <v>41469</v>
      </c>
      <c r="H44" s="163">
        <v>41764</v>
      </c>
      <c r="I44" s="155">
        <f t="shared" ca="1" si="1"/>
        <v>-130</v>
      </c>
      <c r="J44" s="105" t="s">
        <v>89</v>
      </c>
      <c r="K44" s="105" t="s">
        <v>89</v>
      </c>
      <c r="L44" s="105" t="s">
        <v>89</v>
      </c>
      <c r="M44" s="105" t="s">
        <v>89</v>
      </c>
      <c r="N44" s="105" t="s">
        <v>113</v>
      </c>
      <c r="O44" s="105" t="s">
        <v>1067</v>
      </c>
      <c r="P44" s="105"/>
      <c r="Q44" s="108"/>
      <c r="R44" s="102"/>
    </row>
    <row r="45" spans="1:18" ht="195" x14ac:dyDescent="0.2">
      <c r="A45" s="165" t="s">
        <v>295</v>
      </c>
      <c r="B45" s="112">
        <v>1080583169</v>
      </c>
      <c r="C45" s="112">
        <v>1080582089</v>
      </c>
      <c r="D45" s="112" t="s">
        <v>201</v>
      </c>
      <c r="E45" s="161" t="s">
        <v>964</v>
      </c>
      <c r="F45" s="114" t="s">
        <v>294</v>
      </c>
      <c r="G45" s="115">
        <v>41470</v>
      </c>
      <c r="H45" s="162">
        <v>41701</v>
      </c>
      <c r="I45" s="160">
        <f t="shared" ca="1" si="1"/>
        <v>-175</v>
      </c>
      <c r="J45" s="115" t="s">
        <v>89</v>
      </c>
      <c r="K45" s="115" t="s">
        <v>89</v>
      </c>
      <c r="L45" s="115" t="s">
        <v>89</v>
      </c>
      <c r="M45" s="115" t="s">
        <v>89</v>
      </c>
      <c r="N45" s="115">
        <v>41774</v>
      </c>
      <c r="O45" s="115" t="s">
        <v>89</v>
      </c>
      <c r="P45" s="115" t="s">
        <v>128</v>
      </c>
      <c r="Q45" s="118" t="s">
        <v>1446</v>
      </c>
      <c r="R45" s="112"/>
    </row>
    <row r="46" spans="1:18" ht="120" x14ac:dyDescent="0.2">
      <c r="A46" s="165" t="s">
        <v>296</v>
      </c>
      <c r="B46" s="112">
        <v>1080583176</v>
      </c>
      <c r="C46" s="112">
        <v>1080582467</v>
      </c>
      <c r="D46" s="112" t="s">
        <v>297</v>
      </c>
      <c r="E46" s="161" t="s">
        <v>1533</v>
      </c>
      <c r="F46" s="114" t="s">
        <v>298</v>
      </c>
      <c r="G46" s="115">
        <v>41471</v>
      </c>
      <c r="H46" s="162">
        <v>41516</v>
      </c>
      <c r="I46" s="160">
        <f t="shared" ca="1" si="1"/>
        <v>-306</v>
      </c>
      <c r="J46" s="115" t="s">
        <v>89</v>
      </c>
      <c r="K46" s="115" t="s">
        <v>89</v>
      </c>
      <c r="L46" s="115" t="s">
        <v>89</v>
      </c>
      <c r="M46" s="115" t="s">
        <v>89</v>
      </c>
      <c r="N46" s="115">
        <v>41890</v>
      </c>
      <c r="O46" s="115" t="s">
        <v>89</v>
      </c>
      <c r="P46" s="115" t="s">
        <v>128</v>
      </c>
      <c r="Q46" s="118" t="s">
        <v>1611</v>
      </c>
      <c r="R46" s="161" t="s">
        <v>1601</v>
      </c>
    </row>
    <row r="47" spans="1:18" ht="180" x14ac:dyDescent="0.2">
      <c r="A47" s="164" t="s">
        <v>312</v>
      </c>
      <c r="B47" s="102">
        <v>1080583243</v>
      </c>
      <c r="C47" s="102">
        <v>1080582556</v>
      </c>
      <c r="D47" s="102" t="s">
        <v>313</v>
      </c>
      <c r="E47" s="156" t="s">
        <v>1022</v>
      </c>
      <c r="F47" s="104" t="s">
        <v>111</v>
      </c>
      <c r="G47" s="105">
        <v>41482</v>
      </c>
      <c r="H47" s="163">
        <v>41530</v>
      </c>
      <c r="I47" s="155">
        <f t="shared" ca="1" si="1"/>
        <v>-296</v>
      </c>
      <c r="J47" s="105" t="s">
        <v>89</v>
      </c>
      <c r="K47" s="105">
        <v>41615</v>
      </c>
      <c r="L47" s="105" t="s">
        <v>89</v>
      </c>
      <c r="M47" s="105" t="s">
        <v>89</v>
      </c>
      <c r="N47" s="105" t="s">
        <v>113</v>
      </c>
      <c r="O47" s="105" t="s">
        <v>89</v>
      </c>
      <c r="P47" s="105"/>
      <c r="Q47" s="108"/>
      <c r="R47" s="102"/>
    </row>
    <row r="48" spans="1:18" ht="150" x14ac:dyDescent="0.2">
      <c r="A48" s="164" t="s">
        <v>314</v>
      </c>
      <c r="B48" s="102">
        <v>1080583244</v>
      </c>
      <c r="C48" s="102">
        <v>1080582556</v>
      </c>
      <c r="D48" s="102" t="s">
        <v>311</v>
      </c>
      <c r="E48" s="156" t="s">
        <v>1023</v>
      </c>
      <c r="F48" s="104" t="s">
        <v>315</v>
      </c>
      <c r="G48" s="105">
        <v>41482</v>
      </c>
      <c r="H48" s="163">
        <v>41530</v>
      </c>
      <c r="I48" s="155">
        <f t="shared" ca="1" si="1"/>
        <v>-296</v>
      </c>
      <c r="J48" s="105" t="s">
        <v>89</v>
      </c>
      <c r="K48" s="105">
        <v>41592</v>
      </c>
      <c r="L48" s="105" t="s">
        <v>89</v>
      </c>
      <c r="M48" s="105" t="s">
        <v>89</v>
      </c>
      <c r="N48" s="105" t="s">
        <v>113</v>
      </c>
      <c r="O48" s="105">
        <v>41592</v>
      </c>
      <c r="P48" s="105"/>
      <c r="Q48" s="108"/>
      <c r="R48" s="102"/>
    </row>
    <row r="49" spans="1:18" ht="120" x14ac:dyDescent="0.2">
      <c r="A49" s="165" t="s">
        <v>320</v>
      </c>
      <c r="B49" s="112">
        <v>1080583268</v>
      </c>
      <c r="C49" s="112">
        <v>1080582376</v>
      </c>
      <c r="D49" s="112" t="s">
        <v>321</v>
      </c>
      <c r="E49" s="161" t="s">
        <v>981</v>
      </c>
      <c r="F49" s="114" t="s">
        <v>322</v>
      </c>
      <c r="G49" s="115">
        <v>41485</v>
      </c>
      <c r="H49" s="162">
        <v>41537</v>
      </c>
      <c r="I49" s="160">
        <f t="shared" ca="1" si="1"/>
        <v>-291</v>
      </c>
      <c r="J49" s="115" t="s">
        <v>89</v>
      </c>
      <c r="K49" s="115">
        <v>41533</v>
      </c>
      <c r="L49" s="115" t="s">
        <v>89</v>
      </c>
      <c r="M49" s="115" t="s">
        <v>89</v>
      </c>
      <c r="N49" s="115">
        <v>41723</v>
      </c>
      <c r="O49" s="115">
        <v>41492</v>
      </c>
      <c r="P49" s="115" t="s">
        <v>128</v>
      </c>
      <c r="Q49" s="118" t="s">
        <v>1377</v>
      </c>
      <c r="R49" s="112"/>
    </row>
    <row r="50" spans="1:18" ht="330" x14ac:dyDescent="0.2">
      <c r="A50" s="164" t="s">
        <v>328</v>
      </c>
      <c r="B50" s="102">
        <v>1080583285</v>
      </c>
      <c r="C50" s="102">
        <v>1080582423</v>
      </c>
      <c r="D50" s="102" t="s">
        <v>139</v>
      </c>
      <c r="E50" s="156" t="s">
        <v>926</v>
      </c>
      <c r="F50" s="104" t="s">
        <v>140</v>
      </c>
      <c r="G50" s="105">
        <v>41486</v>
      </c>
      <c r="H50" s="163">
        <v>41523</v>
      </c>
      <c r="I50" s="155">
        <f t="shared" ca="1" si="1"/>
        <v>-301</v>
      </c>
      <c r="J50" s="105">
        <v>41521</v>
      </c>
      <c r="K50" s="105">
        <v>41617</v>
      </c>
      <c r="L50" s="105">
        <v>41729</v>
      </c>
      <c r="M50" s="105" t="s">
        <v>89</v>
      </c>
      <c r="N50" s="105" t="s">
        <v>104</v>
      </c>
      <c r="O50" s="105">
        <v>41671</v>
      </c>
      <c r="P50" s="105"/>
      <c r="Q50" s="108"/>
      <c r="R50" s="102"/>
    </row>
    <row r="51" spans="1:18" ht="135" x14ac:dyDescent="0.2">
      <c r="A51" s="164" t="s">
        <v>329</v>
      </c>
      <c r="B51" s="102">
        <v>1080583448</v>
      </c>
      <c r="C51" s="102">
        <v>1080582518</v>
      </c>
      <c r="D51" s="102" t="s">
        <v>134</v>
      </c>
      <c r="E51" s="156" t="s">
        <v>1177</v>
      </c>
      <c r="F51" s="104" t="s">
        <v>325</v>
      </c>
      <c r="G51" s="105">
        <v>41507</v>
      </c>
      <c r="H51" s="163">
        <v>41565</v>
      </c>
      <c r="I51" s="155">
        <f t="shared" ca="1" si="1"/>
        <v>-271</v>
      </c>
      <c r="J51" s="105" t="s">
        <v>89</v>
      </c>
      <c r="K51" s="105" t="s">
        <v>89</v>
      </c>
      <c r="L51" s="105" t="s">
        <v>89</v>
      </c>
      <c r="M51" s="105" t="s">
        <v>89</v>
      </c>
      <c r="N51" s="105" t="s">
        <v>104</v>
      </c>
      <c r="O51" s="105" t="s">
        <v>89</v>
      </c>
      <c r="P51" s="105"/>
      <c r="Q51" s="108"/>
      <c r="R51" s="102"/>
    </row>
    <row r="52" spans="1:18" ht="255" x14ac:dyDescent="0.2">
      <c r="A52" s="165" t="s">
        <v>330</v>
      </c>
      <c r="B52" s="112">
        <v>1080583464</v>
      </c>
      <c r="C52" s="112">
        <v>1080582627</v>
      </c>
      <c r="D52" s="112" t="s">
        <v>331</v>
      </c>
      <c r="E52" s="161" t="s">
        <v>935</v>
      </c>
      <c r="F52" s="114" t="s">
        <v>332</v>
      </c>
      <c r="G52" s="115">
        <v>41510</v>
      </c>
      <c r="H52" s="162">
        <v>41551</v>
      </c>
      <c r="I52" s="160">
        <f t="shared" ca="1" si="1"/>
        <v>-281</v>
      </c>
      <c r="J52" s="115">
        <v>41522</v>
      </c>
      <c r="K52" s="115">
        <v>41516</v>
      </c>
      <c r="L52" s="115" t="s">
        <v>89</v>
      </c>
      <c r="M52" s="115" t="s">
        <v>89</v>
      </c>
      <c r="N52" s="115">
        <v>41695</v>
      </c>
      <c r="O52" s="115" t="s">
        <v>89</v>
      </c>
      <c r="P52" s="115" t="s">
        <v>128</v>
      </c>
      <c r="Q52" s="118" t="s">
        <v>1408</v>
      </c>
      <c r="R52" s="112"/>
    </row>
    <row r="53" spans="1:18" ht="135" x14ac:dyDescent="0.2">
      <c r="A53" s="164" t="s">
        <v>337</v>
      </c>
      <c r="B53" s="102">
        <v>1080583466</v>
      </c>
      <c r="C53" s="102">
        <v>1080582458</v>
      </c>
      <c r="D53" s="102" t="s">
        <v>338</v>
      </c>
      <c r="E53" s="156" t="s">
        <v>1178</v>
      </c>
      <c r="F53" s="104" t="s">
        <v>339</v>
      </c>
      <c r="G53" s="105">
        <v>41511</v>
      </c>
      <c r="H53" s="163">
        <v>41558</v>
      </c>
      <c r="I53" s="155">
        <f t="shared" ca="1" si="1"/>
        <v>-276</v>
      </c>
      <c r="J53" s="105" t="s">
        <v>89</v>
      </c>
      <c r="K53" s="105" t="s">
        <v>89</v>
      </c>
      <c r="L53" s="105" t="s">
        <v>89</v>
      </c>
      <c r="M53" s="105" t="s">
        <v>89</v>
      </c>
      <c r="N53" s="105" t="s">
        <v>104</v>
      </c>
      <c r="O53" s="105" t="s">
        <v>89</v>
      </c>
      <c r="P53" s="105"/>
      <c r="Q53" s="108"/>
      <c r="R53" s="102"/>
    </row>
    <row r="54" spans="1:18" ht="180" x14ac:dyDescent="0.2">
      <c r="A54" s="165" t="s">
        <v>340</v>
      </c>
      <c r="B54" s="112">
        <v>1080583467</v>
      </c>
      <c r="C54" s="112">
        <v>1080582247</v>
      </c>
      <c r="D54" s="112" t="s">
        <v>341</v>
      </c>
      <c r="E54" s="161" t="s">
        <v>1012</v>
      </c>
      <c r="F54" s="114" t="s">
        <v>342</v>
      </c>
      <c r="G54" s="115">
        <v>41511</v>
      </c>
      <c r="H54" s="162">
        <v>41565</v>
      </c>
      <c r="I54" s="160">
        <f t="shared" ca="1" si="1"/>
        <v>-271</v>
      </c>
      <c r="J54" s="115">
        <v>41542</v>
      </c>
      <c r="K54" s="115">
        <v>41677</v>
      </c>
      <c r="L54" s="115" t="s">
        <v>89</v>
      </c>
      <c r="M54" s="115" t="s">
        <v>89</v>
      </c>
      <c r="N54" s="115">
        <v>41774</v>
      </c>
      <c r="O54" s="115" t="s">
        <v>89</v>
      </c>
      <c r="P54" s="115" t="s">
        <v>128</v>
      </c>
      <c r="Q54" s="118" t="s">
        <v>1534</v>
      </c>
      <c r="R54" s="112"/>
    </row>
    <row r="55" spans="1:18" ht="195" x14ac:dyDescent="0.2">
      <c r="A55" s="110" t="s">
        <v>922</v>
      </c>
      <c r="B55" s="112">
        <v>1080583518</v>
      </c>
      <c r="C55" s="112">
        <v>1080582696</v>
      </c>
      <c r="D55" s="112" t="s">
        <v>311</v>
      </c>
      <c r="E55" s="161" t="s">
        <v>927</v>
      </c>
      <c r="F55" s="114" t="s">
        <v>244</v>
      </c>
      <c r="G55" s="115">
        <v>41516</v>
      </c>
      <c r="H55" s="115">
        <v>41565</v>
      </c>
      <c r="I55" s="160">
        <f t="shared" ca="1" si="1"/>
        <v>-271</v>
      </c>
      <c r="J55" s="115" t="s">
        <v>89</v>
      </c>
      <c r="K55" s="115" t="s">
        <v>89</v>
      </c>
      <c r="L55" s="115" t="s">
        <v>89</v>
      </c>
      <c r="M55" s="115" t="s">
        <v>89</v>
      </c>
      <c r="N55" s="115">
        <v>41774</v>
      </c>
      <c r="O55" s="115" t="s">
        <v>89</v>
      </c>
      <c r="P55" s="115" t="s">
        <v>128</v>
      </c>
      <c r="Q55" s="118" t="s">
        <v>1484</v>
      </c>
      <c r="R55" s="112"/>
    </row>
    <row r="56" spans="1:18" ht="210" x14ac:dyDescent="0.2">
      <c r="A56" s="109" t="s">
        <v>967</v>
      </c>
      <c r="B56" s="102">
        <v>1080583600</v>
      </c>
      <c r="C56" s="102">
        <v>1080582846</v>
      </c>
      <c r="D56" s="102" t="s">
        <v>265</v>
      </c>
      <c r="E56" s="108" t="s">
        <v>969</v>
      </c>
      <c r="F56" s="104" t="s">
        <v>111</v>
      </c>
      <c r="G56" s="105">
        <v>41532</v>
      </c>
      <c r="H56" s="105">
        <v>41614</v>
      </c>
      <c r="I56" s="155">
        <f t="shared" ca="1" si="1"/>
        <v>-236</v>
      </c>
      <c r="J56" s="105">
        <v>41576</v>
      </c>
      <c r="K56" s="105">
        <v>41661</v>
      </c>
      <c r="L56" s="105" t="s">
        <v>89</v>
      </c>
      <c r="M56" s="105" t="s">
        <v>89</v>
      </c>
      <c r="N56" s="105" t="s">
        <v>136</v>
      </c>
      <c r="O56" s="105">
        <v>41726</v>
      </c>
      <c r="P56" s="105"/>
      <c r="Q56" s="108"/>
      <c r="R56" s="102"/>
    </row>
    <row r="57" spans="1:18" ht="120" x14ac:dyDescent="0.2">
      <c r="A57" s="110" t="s">
        <v>968</v>
      </c>
      <c r="B57" s="112">
        <v>1080583601</v>
      </c>
      <c r="C57" s="112">
        <v>1080582846</v>
      </c>
      <c r="D57" s="112" t="s">
        <v>227</v>
      </c>
      <c r="E57" s="118" t="s">
        <v>970</v>
      </c>
      <c r="F57" s="114" t="s">
        <v>971</v>
      </c>
      <c r="G57" s="115">
        <v>41532</v>
      </c>
      <c r="H57" s="115">
        <v>41645</v>
      </c>
      <c r="I57" s="160">
        <f t="shared" ca="1" si="1"/>
        <v>-215</v>
      </c>
      <c r="J57" s="115" t="s">
        <v>89</v>
      </c>
      <c r="K57" s="115">
        <v>41599</v>
      </c>
      <c r="L57" s="115" t="s">
        <v>89</v>
      </c>
      <c r="M57" s="115" t="s">
        <v>89</v>
      </c>
      <c r="N57" s="115">
        <v>41797</v>
      </c>
      <c r="O57" s="115" t="s">
        <v>89</v>
      </c>
      <c r="P57" s="115" t="s">
        <v>128</v>
      </c>
      <c r="Q57" s="118" t="s">
        <v>1492</v>
      </c>
      <c r="R57" s="112"/>
    </row>
    <row r="58" spans="1:18" ht="300" x14ac:dyDescent="0.2">
      <c r="A58" s="110" t="s">
        <v>984</v>
      </c>
      <c r="B58" s="112">
        <v>1080583621</v>
      </c>
      <c r="C58" s="112">
        <v>1080582846</v>
      </c>
      <c r="D58" s="112" t="s">
        <v>1011</v>
      </c>
      <c r="E58" s="118" t="s">
        <v>986</v>
      </c>
      <c r="F58" s="114" t="s">
        <v>111</v>
      </c>
      <c r="G58" s="115">
        <v>41535</v>
      </c>
      <c r="H58" s="115">
        <v>41614</v>
      </c>
      <c r="I58" s="160">
        <f t="shared" ca="1" si="1"/>
        <v>-236</v>
      </c>
      <c r="J58" s="115">
        <v>41576</v>
      </c>
      <c r="K58" s="115">
        <v>41642</v>
      </c>
      <c r="L58" s="115">
        <v>41628</v>
      </c>
      <c r="M58" s="115" t="s">
        <v>89</v>
      </c>
      <c r="N58" s="115">
        <v>41774</v>
      </c>
      <c r="O58" s="115">
        <v>41682</v>
      </c>
      <c r="P58" s="115" t="s">
        <v>128</v>
      </c>
      <c r="Q58" s="118" t="s">
        <v>1492</v>
      </c>
      <c r="R58" s="112"/>
    </row>
    <row r="59" spans="1:18" ht="150" x14ac:dyDescent="0.2">
      <c r="A59" s="110" t="s">
        <v>987</v>
      </c>
      <c r="B59" s="112">
        <v>1080583643</v>
      </c>
      <c r="C59" s="112">
        <v>1080582993</v>
      </c>
      <c r="D59" s="112" t="s">
        <v>1010</v>
      </c>
      <c r="E59" s="118" t="s">
        <v>1000</v>
      </c>
      <c r="F59" s="114" t="s">
        <v>111</v>
      </c>
      <c r="G59" s="115">
        <v>41537</v>
      </c>
      <c r="H59" s="115">
        <v>41621</v>
      </c>
      <c r="I59" s="160">
        <f t="shared" ca="1" si="1"/>
        <v>-231</v>
      </c>
      <c r="J59" s="115">
        <v>41540</v>
      </c>
      <c r="K59" s="115">
        <v>41577</v>
      </c>
      <c r="L59" s="115">
        <v>41605</v>
      </c>
      <c r="M59" s="115">
        <v>41667</v>
      </c>
      <c r="N59" s="115">
        <v>41555</v>
      </c>
      <c r="O59" s="115">
        <v>41609</v>
      </c>
      <c r="P59" s="115" t="s">
        <v>128</v>
      </c>
      <c r="Q59" s="118" t="s">
        <v>1497</v>
      </c>
      <c r="R59" s="112"/>
    </row>
    <row r="60" spans="1:18" ht="285" x14ac:dyDescent="0.2">
      <c r="A60" s="109" t="s">
        <v>1038</v>
      </c>
      <c r="B60" s="102">
        <v>1080583737</v>
      </c>
      <c r="C60" s="102">
        <v>1080582984</v>
      </c>
      <c r="D60" s="102" t="s">
        <v>1049</v>
      </c>
      <c r="E60" s="108" t="s">
        <v>1043</v>
      </c>
      <c r="F60" s="104" t="s">
        <v>315</v>
      </c>
      <c r="G60" s="105">
        <v>41551</v>
      </c>
      <c r="H60" s="105">
        <v>41621</v>
      </c>
      <c r="I60" s="155">
        <f t="shared" ca="1" si="1"/>
        <v>-231</v>
      </c>
      <c r="J60" s="105">
        <v>41578</v>
      </c>
      <c r="K60" s="105">
        <v>41641</v>
      </c>
      <c r="L60" s="105" t="s">
        <v>89</v>
      </c>
      <c r="M60" s="105" t="s">
        <v>89</v>
      </c>
      <c r="N60" s="105" t="s">
        <v>113</v>
      </c>
      <c r="O60" s="105" t="s">
        <v>90</v>
      </c>
      <c r="P60" s="105"/>
      <c r="Q60" s="108"/>
      <c r="R60" s="102"/>
    </row>
    <row r="61" spans="1:18" ht="75" x14ac:dyDescent="0.2">
      <c r="A61" s="110" t="s">
        <v>1039</v>
      </c>
      <c r="B61" s="112">
        <v>1080583739</v>
      </c>
      <c r="C61" s="112">
        <v>1080581117</v>
      </c>
      <c r="D61" s="112" t="s">
        <v>102</v>
      </c>
      <c r="E61" s="118" t="s">
        <v>1044</v>
      </c>
      <c r="F61" s="114" t="s">
        <v>1045</v>
      </c>
      <c r="G61" s="115">
        <v>41551</v>
      </c>
      <c r="H61" s="115">
        <v>41649</v>
      </c>
      <c r="I61" s="160">
        <f t="shared" ca="1" si="1"/>
        <v>-211</v>
      </c>
      <c r="J61" s="115" t="s">
        <v>89</v>
      </c>
      <c r="K61" s="115" t="s">
        <v>89</v>
      </c>
      <c r="L61" s="115" t="s">
        <v>89</v>
      </c>
      <c r="M61" s="115" t="s">
        <v>89</v>
      </c>
      <c r="N61" s="115" t="s">
        <v>89</v>
      </c>
      <c r="O61" s="115" t="s">
        <v>89</v>
      </c>
      <c r="P61" s="115" t="s">
        <v>128</v>
      </c>
      <c r="Q61" s="118"/>
      <c r="R61" s="112"/>
    </row>
    <row r="62" spans="1:18" ht="195" x14ac:dyDescent="0.2">
      <c r="A62" s="109" t="s">
        <v>1069</v>
      </c>
      <c r="B62" s="102">
        <v>1080583822</v>
      </c>
      <c r="C62" s="102">
        <v>1080582747</v>
      </c>
      <c r="D62" s="102" t="s">
        <v>1075</v>
      </c>
      <c r="E62" s="108" t="s">
        <v>1072</v>
      </c>
      <c r="F62" s="104" t="s">
        <v>111</v>
      </c>
      <c r="G62" s="105">
        <v>41567</v>
      </c>
      <c r="H62" s="105">
        <v>41631</v>
      </c>
      <c r="I62" s="155">
        <f t="shared" ca="1" si="1"/>
        <v>-225</v>
      </c>
      <c r="J62" s="105" t="s">
        <v>89</v>
      </c>
      <c r="K62" s="105">
        <v>41620</v>
      </c>
      <c r="L62" s="105" t="s">
        <v>89</v>
      </c>
      <c r="M62" s="105" t="s">
        <v>89</v>
      </c>
      <c r="N62" s="105" t="s">
        <v>113</v>
      </c>
      <c r="O62" s="105" t="s">
        <v>89</v>
      </c>
      <c r="P62" s="105"/>
      <c r="Q62" s="108"/>
      <c r="R62" s="102"/>
    </row>
    <row r="63" spans="1:18" ht="285" x14ac:dyDescent="0.2">
      <c r="A63" s="109" t="s">
        <v>1068</v>
      </c>
      <c r="B63" s="102">
        <v>1080583832</v>
      </c>
      <c r="C63" s="102">
        <v>1080582747</v>
      </c>
      <c r="D63" s="102" t="s">
        <v>1075</v>
      </c>
      <c r="E63" s="108" t="s">
        <v>1071</v>
      </c>
      <c r="F63" s="104" t="s">
        <v>244</v>
      </c>
      <c r="G63" s="105">
        <v>41567</v>
      </c>
      <c r="H63" s="105">
        <v>41820</v>
      </c>
      <c r="I63" s="155">
        <f t="shared" ca="1" si="1"/>
        <v>-90</v>
      </c>
      <c r="J63" s="105">
        <v>41551</v>
      </c>
      <c r="K63" s="105">
        <v>41724</v>
      </c>
      <c r="L63" s="105" t="s">
        <v>89</v>
      </c>
      <c r="M63" s="105">
        <v>41417</v>
      </c>
      <c r="N63" s="105" t="s">
        <v>104</v>
      </c>
      <c r="O63" s="105" t="s">
        <v>1067</v>
      </c>
      <c r="P63" s="105"/>
      <c r="Q63" s="108"/>
      <c r="R63" s="102"/>
    </row>
    <row r="64" spans="1:18" ht="240" x14ac:dyDescent="0.2">
      <c r="A64" s="110" t="s">
        <v>1080</v>
      </c>
      <c r="B64" s="112">
        <v>1080583896</v>
      </c>
      <c r="C64" s="112">
        <v>1080582401</v>
      </c>
      <c r="D64" s="112" t="s">
        <v>1118</v>
      </c>
      <c r="E64" s="118" t="s">
        <v>1090</v>
      </c>
      <c r="F64" s="114" t="s">
        <v>315</v>
      </c>
      <c r="G64" s="115">
        <v>41577</v>
      </c>
      <c r="H64" s="115">
        <v>41645</v>
      </c>
      <c r="I64" s="160">
        <f t="shared" ca="1" si="1"/>
        <v>-215</v>
      </c>
      <c r="J64" s="115" t="s">
        <v>89</v>
      </c>
      <c r="K64" s="115">
        <v>41621</v>
      </c>
      <c r="L64" s="115" t="s">
        <v>89</v>
      </c>
      <c r="M64" s="115" t="s">
        <v>89</v>
      </c>
      <c r="N64" s="115">
        <v>41736</v>
      </c>
      <c r="O64" s="115" t="s">
        <v>89</v>
      </c>
      <c r="P64" s="115" t="s">
        <v>128</v>
      </c>
      <c r="Q64" s="118" t="s">
        <v>1396</v>
      </c>
      <c r="R64" s="112"/>
    </row>
    <row r="65" spans="1:18" ht="150" x14ac:dyDescent="0.2">
      <c r="A65" s="109" t="s">
        <v>1081</v>
      </c>
      <c r="B65" s="102">
        <v>1080583898</v>
      </c>
      <c r="C65" s="102">
        <v>1080582401</v>
      </c>
      <c r="D65" s="102" t="s">
        <v>1118</v>
      </c>
      <c r="E65" s="108" t="s">
        <v>1091</v>
      </c>
      <c r="F65" s="104" t="s">
        <v>111</v>
      </c>
      <c r="G65" s="105">
        <v>41577</v>
      </c>
      <c r="H65" s="105">
        <v>41645</v>
      </c>
      <c r="I65" s="155">
        <f t="shared" ca="1" si="1"/>
        <v>-215</v>
      </c>
      <c r="J65" s="105">
        <v>41590</v>
      </c>
      <c r="K65" s="105">
        <v>41620</v>
      </c>
      <c r="L65" s="105" t="s">
        <v>89</v>
      </c>
      <c r="M65" s="105" t="s">
        <v>89</v>
      </c>
      <c r="N65" s="105" t="s">
        <v>113</v>
      </c>
      <c r="O65" s="105">
        <v>41695</v>
      </c>
      <c r="P65" s="105"/>
      <c r="Q65" s="108"/>
      <c r="R65" s="102"/>
    </row>
    <row r="66" spans="1:18" ht="105" x14ac:dyDescent="0.2">
      <c r="A66" s="109" t="s">
        <v>1095</v>
      </c>
      <c r="B66" s="102">
        <v>1080583922</v>
      </c>
      <c r="C66" s="102">
        <v>1080583071</v>
      </c>
      <c r="D66" s="102" t="s">
        <v>1119</v>
      </c>
      <c r="E66" s="108" t="s">
        <v>1358</v>
      </c>
      <c r="F66" s="104" t="s">
        <v>111</v>
      </c>
      <c r="G66" s="105">
        <v>41579</v>
      </c>
      <c r="H66" s="105">
        <v>41820</v>
      </c>
      <c r="I66" s="155">
        <f t="shared" ca="1" si="1"/>
        <v>-90</v>
      </c>
      <c r="J66" s="105">
        <v>41597</v>
      </c>
      <c r="K66" s="105" t="s">
        <v>98</v>
      </c>
      <c r="L66" s="105" t="s">
        <v>89</v>
      </c>
      <c r="M66" s="105" t="s">
        <v>225</v>
      </c>
      <c r="N66" s="105" t="s">
        <v>99</v>
      </c>
      <c r="O66" s="105">
        <v>41696</v>
      </c>
      <c r="P66" s="105"/>
      <c r="Q66" s="108"/>
      <c r="R66" s="156" t="s">
        <v>1685</v>
      </c>
    </row>
    <row r="67" spans="1:18" ht="90" x14ac:dyDescent="0.2">
      <c r="A67" s="110" t="s">
        <v>1096</v>
      </c>
      <c r="B67" s="112">
        <v>1080583924</v>
      </c>
      <c r="C67" s="112">
        <v>1080583806</v>
      </c>
      <c r="D67" s="112" t="s">
        <v>134</v>
      </c>
      <c r="E67" s="118" t="s">
        <v>1097</v>
      </c>
      <c r="F67" s="114" t="s">
        <v>215</v>
      </c>
      <c r="G67" s="115">
        <v>41580</v>
      </c>
      <c r="H67" s="115">
        <v>41806</v>
      </c>
      <c r="I67" s="160">
        <f t="shared" ref="I67:I98" ca="1" si="2">IF(H67&lt;&gt;0,NETWORKDAYS(TODAY(),H67),"")</f>
        <v>-100</v>
      </c>
      <c r="J67" s="115" t="s">
        <v>89</v>
      </c>
      <c r="K67" s="115">
        <v>41807</v>
      </c>
      <c r="L67" s="115" t="s">
        <v>89</v>
      </c>
      <c r="M67" s="115" t="s">
        <v>89</v>
      </c>
      <c r="N67" s="115">
        <v>41807</v>
      </c>
      <c r="O67" s="115">
        <v>41809</v>
      </c>
      <c r="P67" s="115" t="s">
        <v>128</v>
      </c>
      <c r="Q67" s="118" t="s">
        <v>1756</v>
      </c>
      <c r="R67" s="112"/>
    </row>
    <row r="68" spans="1:18" ht="210" x14ac:dyDescent="0.2">
      <c r="A68" s="110" t="s">
        <v>1098</v>
      </c>
      <c r="B68" s="112">
        <v>1080583941</v>
      </c>
      <c r="C68" s="112">
        <v>1080582863</v>
      </c>
      <c r="D68" s="112" t="s">
        <v>1121</v>
      </c>
      <c r="E68" s="118" t="s">
        <v>1099</v>
      </c>
      <c r="F68" s="114" t="s">
        <v>1100</v>
      </c>
      <c r="G68" s="115">
        <v>41584</v>
      </c>
      <c r="H68" s="115">
        <v>41666</v>
      </c>
      <c r="I68" s="160">
        <f t="shared" ca="1" si="2"/>
        <v>-200</v>
      </c>
      <c r="J68" s="115" t="s">
        <v>89</v>
      </c>
      <c r="K68" s="115" t="s">
        <v>89</v>
      </c>
      <c r="L68" s="115" t="s">
        <v>89</v>
      </c>
      <c r="M68" s="115" t="s">
        <v>89</v>
      </c>
      <c r="N68" s="115">
        <v>41926</v>
      </c>
      <c r="O68" s="115" t="s">
        <v>89</v>
      </c>
      <c r="P68" s="115" t="s">
        <v>128</v>
      </c>
      <c r="Q68" s="118" t="s">
        <v>1719</v>
      </c>
      <c r="R68" s="112"/>
    </row>
    <row r="69" spans="1:18" ht="165" x14ac:dyDescent="0.2">
      <c r="A69" s="110" t="s">
        <v>1105</v>
      </c>
      <c r="B69" s="112">
        <v>1080583944</v>
      </c>
      <c r="C69" s="112">
        <v>1080582784</v>
      </c>
      <c r="D69" s="112" t="s">
        <v>1122</v>
      </c>
      <c r="E69" s="118" t="s">
        <v>1114</v>
      </c>
      <c r="F69" s="114" t="s">
        <v>111</v>
      </c>
      <c r="G69" s="115">
        <v>41586</v>
      </c>
      <c r="H69" s="115">
        <v>41715</v>
      </c>
      <c r="I69" s="160">
        <f t="shared" ca="1" si="2"/>
        <v>-165</v>
      </c>
      <c r="J69" s="115">
        <v>41590</v>
      </c>
      <c r="K69" s="115">
        <v>41698</v>
      </c>
      <c r="L69" s="115" t="s">
        <v>89</v>
      </c>
      <c r="M69" s="115" t="s">
        <v>89</v>
      </c>
      <c r="N69" s="115">
        <v>41740</v>
      </c>
      <c r="O69" s="115">
        <v>41705</v>
      </c>
      <c r="P69" s="115" t="s">
        <v>128</v>
      </c>
      <c r="Q69" s="118" t="s">
        <v>1409</v>
      </c>
      <c r="R69" s="112"/>
    </row>
    <row r="70" spans="1:18" ht="120" x14ac:dyDescent="0.2">
      <c r="A70" s="110" t="s">
        <v>1108</v>
      </c>
      <c r="B70" s="112">
        <v>1080583964</v>
      </c>
      <c r="C70" s="112">
        <v>1080583116</v>
      </c>
      <c r="D70" s="112" t="s">
        <v>102</v>
      </c>
      <c r="E70" s="118" t="s">
        <v>1117</v>
      </c>
      <c r="F70" s="114" t="s">
        <v>103</v>
      </c>
      <c r="G70" s="115">
        <v>41588</v>
      </c>
      <c r="H70" s="115">
        <v>41666</v>
      </c>
      <c r="I70" s="160">
        <f t="shared" ca="1" si="2"/>
        <v>-200</v>
      </c>
      <c r="J70" s="115" t="s">
        <v>89</v>
      </c>
      <c r="K70" s="115" t="s">
        <v>89</v>
      </c>
      <c r="L70" s="115" t="s">
        <v>89</v>
      </c>
      <c r="M70" s="115" t="s">
        <v>89</v>
      </c>
      <c r="N70" s="115">
        <v>41596</v>
      </c>
      <c r="O70" s="115" t="s">
        <v>89</v>
      </c>
      <c r="P70" s="115" t="s">
        <v>128</v>
      </c>
      <c r="Q70" s="118" t="s">
        <v>1453</v>
      </c>
      <c r="R70" s="112"/>
    </row>
    <row r="71" spans="1:18" ht="135" x14ac:dyDescent="0.2">
      <c r="A71" s="110" t="s">
        <v>1123</v>
      </c>
      <c r="B71" s="112">
        <v>1080583987</v>
      </c>
      <c r="C71" s="112">
        <v>1080583616</v>
      </c>
      <c r="D71" s="112" t="s">
        <v>1120</v>
      </c>
      <c r="E71" s="118" t="s">
        <v>1125</v>
      </c>
      <c r="F71" s="114" t="s">
        <v>167</v>
      </c>
      <c r="G71" s="115">
        <v>41591</v>
      </c>
      <c r="H71" s="115">
        <v>41673</v>
      </c>
      <c r="I71" s="160">
        <f t="shared" ca="1" si="2"/>
        <v>-195</v>
      </c>
      <c r="J71" s="115" t="s">
        <v>89</v>
      </c>
      <c r="K71" s="115">
        <v>41698</v>
      </c>
      <c r="L71" s="115" t="s">
        <v>89</v>
      </c>
      <c r="M71" s="115" t="s">
        <v>89</v>
      </c>
      <c r="N71" s="115">
        <v>41605</v>
      </c>
      <c r="O71" s="115">
        <v>41725</v>
      </c>
      <c r="P71" s="115" t="s">
        <v>128</v>
      </c>
      <c r="Q71" s="118" t="s">
        <v>1378</v>
      </c>
      <c r="R71" s="112"/>
    </row>
    <row r="72" spans="1:18" ht="60" x14ac:dyDescent="0.2">
      <c r="A72" s="109" t="s">
        <v>1141</v>
      </c>
      <c r="B72" s="102">
        <v>1080584048</v>
      </c>
      <c r="C72" s="102">
        <v>1080583471</v>
      </c>
      <c r="D72" s="102" t="s">
        <v>1149</v>
      </c>
      <c r="E72" s="108" t="s">
        <v>1146</v>
      </c>
      <c r="F72" s="104" t="s">
        <v>215</v>
      </c>
      <c r="G72" s="105">
        <v>41600</v>
      </c>
      <c r="H72" s="105">
        <v>41960</v>
      </c>
      <c r="I72" s="155">
        <f t="shared" ca="1" si="2"/>
        <v>12</v>
      </c>
      <c r="J72" s="105" t="s">
        <v>89</v>
      </c>
      <c r="K72" s="105">
        <v>41919</v>
      </c>
      <c r="L72" s="105" t="s">
        <v>89</v>
      </c>
      <c r="M72" s="105" t="s">
        <v>89</v>
      </c>
      <c r="N72" s="105">
        <v>41878</v>
      </c>
      <c r="O72" s="105" t="s">
        <v>153</v>
      </c>
      <c r="P72" s="105"/>
      <c r="Q72" s="108"/>
      <c r="R72" s="102"/>
    </row>
    <row r="73" spans="1:18" ht="255" x14ac:dyDescent="0.2">
      <c r="A73" s="109" t="s">
        <v>1142</v>
      </c>
      <c r="B73" s="102">
        <v>1080584056</v>
      </c>
      <c r="C73" s="102">
        <v>1080583387</v>
      </c>
      <c r="D73" s="102" t="s">
        <v>1010</v>
      </c>
      <c r="E73" s="108" t="s">
        <v>1147</v>
      </c>
      <c r="F73" s="104" t="s">
        <v>1148</v>
      </c>
      <c r="G73" s="105">
        <v>41602</v>
      </c>
      <c r="H73" s="105">
        <v>41694</v>
      </c>
      <c r="I73" s="155">
        <f t="shared" ca="1" si="2"/>
        <v>-180</v>
      </c>
      <c r="J73" s="105" t="s">
        <v>89</v>
      </c>
      <c r="K73" s="105" t="s">
        <v>323</v>
      </c>
      <c r="L73" s="105" t="s">
        <v>89</v>
      </c>
      <c r="M73" s="105" t="s">
        <v>89</v>
      </c>
      <c r="N73" s="105" t="s">
        <v>1501</v>
      </c>
      <c r="O73" s="105">
        <v>41733</v>
      </c>
      <c r="P73" s="105"/>
      <c r="Q73" s="108"/>
      <c r="R73" s="102"/>
    </row>
    <row r="74" spans="1:18" ht="120" x14ac:dyDescent="0.2">
      <c r="A74" s="109" t="s">
        <v>1150</v>
      </c>
      <c r="B74" s="102">
        <v>1080584074</v>
      </c>
      <c r="C74" s="102">
        <v>1080583296</v>
      </c>
      <c r="D74" s="102" t="s">
        <v>1163</v>
      </c>
      <c r="E74" s="108" t="s">
        <v>1156</v>
      </c>
      <c r="F74" s="104" t="s">
        <v>111</v>
      </c>
      <c r="G74" s="105">
        <v>41604</v>
      </c>
      <c r="H74" s="105">
        <v>41855</v>
      </c>
      <c r="I74" s="155">
        <f t="shared" ca="1" si="2"/>
        <v>-65</v>
      </c>
      <c r="J74" s="105">
        <v>41614</v>
      </c>
      <c r="K74" s="105">
        <v>41919</v>
      </c>
      <c r="L74" s="105">
        <v>41870</v>
      </c>
      <c r="M74" s="105" t="s">
        <v>89</v>
      </c>
      <c r="N74" s="105" t="s">
        <v>1048</v>
      </c>
      <c r="O74" s="105" t="s">
        <v>153</v>
      </c>
      <c r="P74" s="105"/>
      <c r="Q74" s="108"/>
      <c r="R74" s="102"/>
    </row>
    <row r="75" spans="1:18" ht="195" x14ac:dyDescent="0.2">
      <c r="A75" s="109" t="s">
        <v>1153</v>
      </c>
      <c r="B75" s="102">
        <v>1080584082</v>
      </c>
      <c r="C75" s="102">
        <v>1080583627</v>
      </c>
      <c r="D75" s="102" t="s">
        <v>261</v>
      </c>
      <c r="E75" s="108" t="s">
        <v>1160</v>
      </c>
      <c r="F75" s="104" t="s">
        <v>217</v>
      </c>
      <c r="G75" s="105">
        <v>41605</v>
      </c>
      <c r="H75" s="105">
        <v>41869</v>
      </c>
      <c r="I75" s="155">
        <f t="shared" ca="1" si="2"/>
        <v>-55</v>
      </c>
      <c r="J75" s="105" t="s">
        <v>89</v>
      </c>
      <c r="K75" s="105" t="s">
        <v>89</v>
      </c>
      <c r="L75" s="105" t="s">
        <v>89</v>
      </c>
      <c r="M75" s="105" t="s">
        <v>89</v>
      </c>
      <c r="N75" s="105" t="s">
        <v>136</v>
      </c>
      <c r="O75" s="105" t="s">
        <v>89</v>
      </c>
      <c r="P75" s="105"/>
      <c r="Q75" s="108"/>
      <c r="R75" s="102"/>
    </row>
    <row r="76" spans="1:18" ht="90" x14ac:dyDescent="0.2">
      <c r="A76" s="109" t="s">
        <v>1196</v>
      </c>
      <c r="B76" s="102">
        <v>1080584175</v>
      </c>
      <c r="C76" s="102">
        <v>1080583620</v>
      </c>
      <c r="D76" s="102" t="s">
        <v>276</v>
      </c>
      <c r="E76" s="108" t="s">
        <v>1199</v>
      </c>
      <c r="F76" s="104" t="s">
        <v>639</v>
      </c>
      <c r="G76" s="105">
        <v>41625</v>
      </c>
      <c r="H76" s="105">
        <v>41960</v>
      </c>
      <c r="I76" s="155">
        <f t="shared" ca="1" si="2"/>
        <v>12</v>
      </c>
      <c r="J76" s="105" t="s">
        <v>89</v>
      </c>
      <c r="K76" s="105">
        <v>41712</v>
      </c>
      <c r="L76" s="105">
        <v>41941</v>
      </c>
      <c r="M76" s="105" t="s">
        <v>89</v>
      </c>
      <c r="N76" s="105">
        <v>41779</v>
      </c>
      <c r="O76" s="105" t="s">
        <v>153</v>
      </c>
      <c r="P76" s="105"/>
      <c r="Q76" s="108"/>
      <c r="R76" s="102"/>
    </row>
    <row r="77" spans="1:18" ht="75" x14ac:dyDescent="0.2">
      <c r="A77" s="110" t="s">
        <v>1206</v>
      </c>
      <c r="B77" s="112">
        <v>1080584188</v>
      </c>
      <c r="C77" s="112">
        <v>1080583790</v>
      </c>
      <c r="D77" s="112" t="s">
        <v>1233</v>
      </c>
      <c r="E77" s="118" t="s">
        <v>1210</v>
      </c>
      <c r="F77" s="114" t="s">
        <v>639</v>
      </c>
      <c r="G77" s="115">
        <v>41635</v>
      </c>
      <c r="H77" s="115">
        <v>41764</v>
      </c>
      <c r="I77" s="160">
        <f t="shared" ca="1" si="2"/>
        <v>-130</v>
      </c>
      <c r="J77" s="115" t="s">
        <v>89</v>
      </c>
      <c r="K77" s="115">
        <v>41753</v>
      </c>
      <c r="L77" s="115" t="s">
        <v>89</v>
      </c>
      <c r="M77" s="115" t="s">
        <v>89</v>
      </c>
      <c r="N77" s="115">
        <v>41731</v>
      </c>
      <c r="O77" s="115">
        <v>41935</v>
      </c>
      <c r="P77" s="115" t="s">
        <v>128</v>
      </c>
      <c r="Q77" s="118" t="s">
        <v>1756</v>
      </c>
      <c r="R77" s="112"/>
    </row>
    <row r="78" spans="1:18" ht="120" x14ac:dyDescent="0.2">
      <c r="A78" s="109" t="s">
        <v>1208</v>
      </c>
      <c r="B78" s="102">
        <v>1080584192</v>
      </c>
      <c r="C78" s="102">
        <v>1080581837</v>
      </c>
      <c r="D78" s="102" t="s">
        <v>118</v>
      </c>
      <c r="E78" s="108" t="s">
        <v>1213</v>
      </c>
      <c r="F78" s="104" t="s">
        <v>1214</v>
      </c>
      <c r="G78" s="105">
        <v>41638</v>
      </c>
      <c r="H78" s="105">
        <v>41682</v>
      </c>
      <c r="I78" s="155">
        <f t="shared" ca="1" si="2"/>
        <v>-188</v>
      </c>
      <c r="J78" s="105" t="s">
        <v>89</v>
      </c>
      <c r="K78" s="105" t="s">
        <v>89</v>
      </c>
      <c r="L78" s="105" t="s">
        <v>89</v>
      </c>
      <c r="M78" s="105" t="s">
        <v>89</v>
      </c>
      <c r="N78" s="105" t="s">
        <v>104</v>
      </c>
      <c r="O78" s="105" t="s">
        <v>89</v>
      </c>
      <c r="P78" s="105"/>
      <c r="Q78" s="108"/>
      <c r="R78" s="102"/>
    </row>
    <row r="79" spans="1:18" ht="120" x14ac:dyDescent="0.2">
      <c r="A79" s="109" t="s">
        <v>1220</v>
      </c>
      <c r="B79" s="102">
        <v>1080584218</v>
      </c>
      <c r="C79" s="102">
        <v>1080583492</v>
      </c>
      <c r="D79" s="102" t="s">
        <v>134</v>
      </c>
      <c r="E79" s="108" t="s">
        <v>1226</v>
      </c>
      <c r="F79" s="104" t="s">
        <v>215</v>
      </c>
      <c r="G79" s="105">
        <v>41646</v>
      </c>
      <c r="H79" s="105">
        <v>41827</v>
      </c>
      <c r="I79" s="155">
        <f t="shared" ca="1" si="2"/>
        <v>-85</v>
      </c>
      <c r="J79" s="105" t="s">
        <v>89</v>
      </c>
      <c r="K79" s="105">
        <v>41793</v>
      </c>
      <c r="L79" s="105" t="s">
        <v>89</v>
      </c>
      <c r="M79" s="105" t="s">
        <v>89</v>
      </c>
      <c r="N79" s="105">
        <v>41876</v>
      </c>
      <c r="O79" s="105" t="s">
        <v>153</v>
      </c>
      <c r="P79" s="105"/>
      <c r="Q79" s="108"/>
      <c r="R79" s="102"/>
    </row>
    <row r="80" spans="1:18" ht="360" x14ac:dyDescent="0.2">
      <c r="A80" s="109" t="s">
        <v>1238</v>
      </c>
      <c r="B80" s="102">
        <v>1080584273</v>
      </c>
      <c r="C80" s="102">
        <v>1080583582</v>
      </c>
      <c r="D80" s="102" t="s">
        <v>134</v>
      </c>
      <c r="E80" s="108" t="s">
        <v>1474</v>
      </c>
      <c r="F80" s="104" t="s">
        <v>255</v>
      </c>
      <c r="G80" s="105">
        <v>41654</v>
      </c>
      <c r="H80" s="105">
        <v>41806</v>
      </c>
      <c r="I80" s="155">
        <f t="shared" ca="1" si="2"/>
        <v>-100</v>
      </c>
      <c r="J80" s="105">
        <v>41723</v>
      </c>
      <c r="K80" s="105" t="s">
        <v>89</v>
      </c>
      <c r="L80" s="105" t="s">
        <v>89</v>
      </c>
      <c r="M80" s="105" t="s">
        <v>89</v>
      </c>
      <c r="N80" s="105" t="s">
        <v>136</v>
      </c>
      <c r="O80" s="105" t="s">
        <v>1067</v>
      </c>
      <c r="P80" s="105"/>
      <c r="Q80" s="108"/>
      <c r="R80" s="102"/>
    </row>
    <row r="81" spans="1:18" ht="180" x14ac:dyDescent="0.2">
      <c r="A81" s="109" t="s">
        <v>1243</v>
      </c>
      <c r="B81" s="102">
        <v>1080584303</v>
      </c>
      <c r="C81" s="102">
        <v>1080583935</v>
      </c>
      <c r="D81" s="102" t="s">
        <v>134</v>
      </c>
      <c r="E81" s="108" t="s">
        <v>1245</v>
      </c>
      <c r="F81" s="104" t="s">
        <v>152</v>
      </c>
      <c r="G81" s="105">
        <v>41661</v>
      </c>
      <c r="H81" s="105">
        <v>41911</v>
      </c>
      <c r="I81" s="155">
        <f t="shared" ca="1" si="2"/>
        <v>-25</v>
      </c>
      <c r="J81" s="105" t="s">
        <v>89</v>
      </c>
      <c r="K81" s="105" t="s">
        <v>89</v>
      </c>
      <c r="L81" s="105" t="s">
        <v>171</v>
      </c>
      <c r="M81" s="105" t="s">
        <v>89</v>
      </c>
      <c r="N81" s="105" t="s">
        <v>1247</v>
      </c>
      <c r="O81" s="105" t="s">
        <v>153</v>
      </c>
      <c r="P81" s="105"/>
      <c r="Q81" s="108"/>
      <c r="R81" s="156" t="s">
        <v>1689</v>
      </c>
    </row>
    <row r="82" spans="1:18" ht="150" x14ac:dyDescent="0.2">
      <c r="A82" s="109" t="s">
        <v>1244</v>
      </c>
      <c r="B82" s="102">
        <v>1080584305</v>
      </c>
      <c r="C82" s="102">
        <v>1080583935</v>
      </c>
      <c r="D82" s="102" t="s">
        <v>134</v>
      </c>
      <c r="E82" s="108" t="s">
        <v>1246</v>
      </c>
      <c r="F82" s="104" t="s">
        <v>186</v>
      </c>
      <c r="G82" s="105">
        <v>41661</v>
      </c>
      <c r="H82" s="105">
        <v>41862</v>
      </c>
      <c r="I82" s="155">
        <f t="shared" ca="1" si="2"/>
        <v>-60</v>
      </c>
      <c r="J82" s="105">
        <v>41879</v>
      </c>
      <c r="K82" s="105">
        <v>41928</v>
      </c>
      <c r="L82" s="105" t="s">
        <v>171</v>
      </c>
      <c r="M82" s="105" t="s">
        <v>89</v>
      </c>
      <c r="N82" s="105" t="s">
        <v>136</v>
      </c>
      <c r="O82" s="105" t="s">
        <v>1067</v>
      </c>
      <c r="P82" s="105"/>
      <c r="Q82" s="108"/>
      <c r="R82" s="102"/>
    </row>
    <row r="83" spans="1:18" ht="210" x14ac:dyDescent="0.2">
      <c r="A83" s="109" t="s">
        <v>1248</v>
      </c>
      <c r="B83" s="102">
        <v>1080584325</v>
      </c>
      <c r="C83" s="102">
        <v>1080583763</v>
      </c>
      <c r="D83" s="102" t="s">
        <v>1252</v>
      </c>
      <c r="E83" s="108" t="s">
        <v>1251</v>
      </c>
      <c r="F83" s="104" t="s">
        <v>111</v>
      </c>
      <c r="G83" s="105">
        <v>41663</v>
      </c>
      <c r="H83" s="105">
        <v>41771</v>
      </c>
      <c r="I83" s="155">
        <f t="shared" ca="1" si="2"/>
        <v>-125</v>
      </c>
      <c r="J83" s="105" t="s">
        <v>89</v>
      </c>
      <c r="K83" s="105" t="s">
        <v>98</v>
      </c>
      <c r="L83" s="105" t="s">
        <v>89</v>
      </c>
      <c r="M83" s="105" t="s">
        <v>89</v>
      </c>
      <c r="N83" s="105" t="s">
        <v>113</v>
      </c>
      <c r="O83" s="105" t="s">
        <v>1067</v>
      </c>
      <c r="P83" s="105"/>
      <c r="Q83" s="108"/>
      <c r="R83" s="156" t="s">
        <v>1686</v>
      </c>
    </row>
    <row r="84" spans="1:18" ht="105" x14ac:dyDescent="0.2">
      <c r="A84" s="119" t="s">
        <v>1253</v>
      </c>
      <c r="B84" s="16">
        <v>1080584330</v>
      </c>
      <c r="C84" s="16">
        <v>1080582940</v>
      </c>
      <c r="D84" s="102" t="s">
        <v>1269</v>
      </c>
      <c r="E84" s="96" t="s">
        <v>1255</v>
      </c>
      <c r="F84" s="120" t="s">
        <v>215</v>
      </c>
      <c r="G84" s="19">
        <v>41664</v>
      </c>
      <c r="H84" s="19">
        <v>42020</v>
      </c>
      <c r="I84" s="24">
        <f t="shared" ca="1" si="2"/>
        <v>56</v>
      </c>
      <c r="J84" s="19">
        <v>41731</v>
      </c>
      <c r="K84" s="19" t="s">
        <v>211</v>
      </c>
      <c r="L84" s="19" t="s">
        <v>171</v>
      </c>
      <c r="M84" s="19" t="s">
        <v>89</v>
      </c>
      <c r="N84" s="19" t="s">
        <v>94</v>
      </c>
      <c r="O84" s="19" t="s">
        <v>153</v>
      </c>
      <c r="P84" s="19"/>
      <c r="Q84" s="96"/>
      <c r="R84" s="16"/>
    </row>
    <row r="85" spans="1:18" ht="105" x14ac:dyDescent="0.2">
      <c r="A85" s="181" t="s">
        <v>1257</v>
      </c>
      <c r="B85" s="182">
        <v>1080584356</v>
      </c>
      <c r="C85" s="182">
        <v>1080583698</v>
      </c>
      <c r="D85" s="182" t="s">
        <v>1118</v>
      </c>
      <c r="E85" s="183" t="s">
        <v>1265</v>
      </c>
      <c r="F85" s="184" t="s">
        <v>1266</v>
      </c>
      <c r="G85" s="185">
        <v>41668</v>
      </c>
      <c r="H85" s="185">
        <v>41736</v>
      </c>
      <c r="I85" s="186">
        <f t="shared" ca="1" si="2"/>
        <v>-150</v>
      </c>
      <c r="J85" s="185" t="s">
        <v>89</v>
      </c>
      <c r="K85" s="185" t="s">
        <v>89</v>
      </c>
      <c r="L85" s="185" t="s">
        <v>89</v>
      </c>
      <c r="M85" s="185" t="s">
        <v>89</v>
      </c>
      <c r="N85" s="185">
        <v>41926</v>
      </c>
      <c r="O85" s="185" t="s">
        <v>89</v>
      </c>
      <c r="P85" s="185" t="s">
        <v>128</v>
      </c>
      <c r="Q85" s="183" t="s">
        <v>1720</v>
      </c>
      <c r="R85" s="182"/>
    </row>
    <row r="86" spans="1:18" ht="120" x14ac:dyDescent="0.2">
      <c r="A86" s="109" t="s">
        <v>1278</v>
      </c>
      <c r="B86" s="102">
        <v>1080584418</v>
      </c>
      <c r="C86" s="102">
        <v>1080583070</v>
      </c>
      <c r="D86" s="102" t="s">
        <v>102</v>
      </c>
      <c r="E86" s="108" t="s">
        <v>1283</v>
      </c>
      <c r="F86" s="104" t="s">
        <v>1284</v>
      </c>
      <c r="G86" s="105">
        <v>41677</v>
      </c>
      <c r="H86" s="105">
        <v>41750</v>
      </c>
      <c r="I86" s="155">
        <f t="shared" ca="1" si="2"/>
        <v>-140</v>
      </c>
      <c r="J86" s="105" t="s">
        <v>89</v>
      </c>
      <c r="K86" s="105">
        <v>41772</v>
      </c>
      <c r="L86" s="105" t="s">
        <v>89</v>
      </c>
      <c r="M86" s="105" t="s">
        <v>89</v>
      </c>
      <c r="N86" s="105" t="s">
        <v>1048</v>
      </c>
      <c r="O86" s="105" t="s">
        <v>207</v>
      </c>
      <c r="P86" s="105"/>
      <c r="Q86" s="108"/>
      <c r="R86" s="156" t="s">
        <v>1687</v>
      </c>
    </row>
    <row r="87" spans="1:18" ht="75" x14ac:dyDescent="0.2">
      <c r="A87" s="109" t="s">
        <v>1279</v>
      </c>
      <c r="B87" s="102">
        <v>1080584421</v>
      </c>
      <c r="C87" s="102">
        <v>1080584146</v>
      </c>
      <c r="D87" s="102" t="s">
        <v>110</v>
      </c>
      <c r="E87" s="108" t="s">
        <v>1285</v>
      </c>
      <c r="F87" s="104" t="s">
        <v>1284</v>
      </c>
      <c r="G87" s="105">
        <v>41679</v>
      </c>
      <c r="H87" s="105">
        <v>41988</v>
      </c>
      <c r="I87" s="155">
        <f t="shared" ca="1" si="2"/>
        <v>32</v>
      </c>
      <c r="J87" s="105" t="s">
        <v>89</v>
      </c>
      <c r="K87" s="105" t="s">
        <v>98</v>
      </c>
      <c r="L87" s="105">
        <v>41879</v>
      </c>
      <c r="M87" s="105" t="s">
        <v>89</v>
      </c>
      <c r="N87" s="105" t="s">
        <v>1048</v>
      </c>
      <c r="O87" s="105" t="s">
        <v>89</v>
      </c>
      <c r="P87" s="105"/>
      <c r="Q87" s="108"/>
      <c r="R87" s="156" t="s">
        <v>1698</v>
      </c>
    </row>
    <row r="88" spans="1:18" ht="135" x14ac:dyDescent="0.2">
      <c r="A88" s="110" t="s">
        <v>1280</v>
      </c>
      <c r="B88" s="112">
        <v>1080584422</v>
      </c>
      <c r="C88" s="112">
        <v>1080583795</v>
      </c>
      <c r="D88" s="112" t="s">
        <v>122</v>
      </c>
      <c r="E88" s="118" t="s">
        <v>1286</v>
      </c>
      <c r="F88" s="114" t="s">
        <v>258</v>
      </c>
      <c r="G88" s="115">
        <v>41679</v>
      </c>
      <c r="H88" s="115">
        <v>41736</v>
      </c>
      <c r="I88" s="160">
        <f t="shared" ca="1" si="2"/>
        <v>-150</v>
      </c>
      <c r="J88" s="115">
        <v>11414</v>
      </c>
      <c r="K88" s="115">
        <v>41694</v>
      </c>
      <c r="L88" s="115" t="s">
        <v>89</v>
      </c>
      <c r="M88" s="115" t="s">
        <v>89</v>
      </c>
      <c r="N88" s="115">
        <v>41927</v>
      </c>
      <c r="O88" s="115">
        <v>41696</v>
      </c>
      <c r="P88" s="115" t="s">
        <v>128</v>
      </c>
      <c r="Q88" s="118" t="s">
        <v>1720</v>
      </c>
      <c r="R88" s="112"/>
    </row>
    <row r="89" spans="1:18" ht="60" x14ac:dyDescent="0.2">
      <c r="A89" s="109" t="s">
        <v>1297</v>
      </c>
      <c r="B89" s="102">
        <v>1080584462</v>
      </c>
      <c r="C89" s="102">
        <v>1080583759</v>
      </c>
      <c r="D89" s="102" t="s">
        <v>1302</v>
      </c>
      <c r="E89" s="108" t="s">
        <v>1301</v>
      </c>
      <c r="F89" s="104" t="s">
        <v>215</v>
      </c>
      <c r="G89" s="105">
        <v>41686</v>
      </c>
      <c r="H89" s="105">
        <v>41964</v>
      </c>
      <c r="I89" s="155">
        <f t="shared" ca="1" si="2"/>
        <v>16</v>
      </c>
      <c r="J89" s="105">
        <v>41829</v>
      </c>
      <c r="K89" s="105" t="s">
        <v>89</v>
      </c>
      <c r="L89" s="105" t="s">
        <v>89</v>
      </c>
      <c r="M89" s="105" t="s">
        <v>89</v>
      </c>
      <c r="N89" s="105" t="s">
        <v>89</v>
      </c>
      <c r="O89" s="105" t="s">
        <v>153</v>
      </c>
      <c r="P89" s="105"/>
      <c r="Q89" s="108"/>
      <c r="R89" s="156" t="s">
        <v>1699</v>
      </c>
    </row>
    <row r="90" spans="1:18" ht="150" x14ac:dyDescent="0.2">
      <c r="A90" s="109" t="s">
        <v>1307</v>
      </c>
      <c r="B90" s="102">
        <v>1080584517</v>
      </c>
      <c r="C90" s="102">
        <v>1080582850</v>
      </c>
      <c r="D90" s="102" t="s">
        <v>102</v>
      </c>
      <c r="E90" s="108" t="s">
        <v>1309</v>
      </c>
      <c r="F90" s="104" t="s">
        <v>1763</v>
      </c>
      <c r="G90" s="105">
        <v>41692</v>
      </c>
      <c r="H90" s="105">
        <v>41834</v>
      </c>
      <c r="I90" s="155">
        <f t="shared" ca="1" si="2"/>
        <v>-80</v>
      </c>
      <c r="J90" s="105" t="s">
        <v>89</v>
      </c>
      <c r="K90" s="105" t="s">
        <v>161</v>
      </c>
      <c r="L90" s="105" t="s">
        <v>89</v>
      </c>
      <c r="M90" s="105" t="s">
        <v>89</v>
      </c>
      <c r="N90" s="105" t="s">
        <v>1767</v>
      </c>
      <c r="O90" s="105" t="s">
        <v>89</v>
      </c>
      <c r="P90" s="105"/>
      <c r="Q90" s="108"/>
      <c r="R90" s="156" t="s">
        <v>1688</v>
      </c>
    </row>
    <row r="91" spans="1:18" ht="180" x14ac:dyDescent="0.2">
      <c r="A91" s="109" t="s">
        <v>1332</v>
      </c>
      <c r="B91" s="102">
        <v>1080584623</v>
      </c>
      <c r="C91" s="102">
        <v>1080583114</v>
      </c>
      <c r="D91" s="102" t="s">
        <v>201</v>
      </c>
      <c r="E91" s="108" t="s">
        <v>1337</v>
      </c>
      <c r="F91" s="104" t="s">
        <v>1338</v>
      </c>
      <c r="G91" s="105">
        <v>41706</v>
      </c>
      <c r="H91" s="105">
        <v>41789</v>
      </c>
      <c r="I91" s="155">
        <f t="shared" ca="1" si="2"/>
        <v>-111</v>
      </c>
      <c r="J91" s="105">
        <v>41730</v>
      </c>
      <c r="K91" s="105">
        <v>41775</v>
      </c>
      <c r="L91" s="105" t="s">
        <v>89</v>
      </c>
      <c r="M91" s="105" t="s">
        <v>89</v>
      </c>
      <c r="N91" s="105" t="s">
        <v>113</v>
      </c>
      <c r="O91" s="105" t="s">
        <v>1067</v>
      </c>
      <c r="P91" s="105"/>
      <c r="Q91" s="108"/>
      <c r="R91" s="102"/>
    </row>
    <row r="92" spans="1:18" ht="90" x14ac:dyDescent="0.2">
      <c r="A92" s="109" t="s">
        <v>1334</v>
      </c>
      <c r="B92" s="102">
        <v>1080584628</v>
      </c>
      <c r="C92" s="102">
        <v>1080583604</v>
      </c>
      <c r="D92" s="102" t="s">
        <v>201</v>
      </c>
      <c r="E92" s="108" t="s">
        <v>1340</v>
      </c>
      <c r="F92" s="104" t="s">
        <v>111</v>
      </c>
      <c r="G92" s="105">
        <v>41707</v>
      </c>
      <c r="H92" s="105">
        <v>41792</v>
      </c>
      <c r="I92" s="155">
        <f t="shared" ca="1" si="2"/>
        <v>-110</v>
      </c>
      <c r="J92" s="105" t="s">
        <v>89</v>
      </c>
      <c r="K92" s="105">
        <v>41782</v>
      </c>
      <c r="L92" s="105" t="s">
        <v>89</v>
      </c>
      <c r="M92" s="105">
        <v>41481</v>
      </c>
      <c r="N92" s="105" t="s">
        <v>113</v>
      </c>
      <c r="O92" s="105">
        <v>41927</v>
      </c>
      <c r="P92" s="105"/>
      <c r="Q92" s="108"/>
      <c r="R92" s="102"/>
    </row>
    <row r="93" spans="1:18" ht="90" x14ac:dyDescent="0.2">
      <c r="A93" s="110" t="s">
        <v>1343</v>
      </c>
      <c r="B93" s="112">
        <v>1080584664</v>
      </c>
      <c r="C93" s="112">
        <v>1080583612</v>
      </c>
      <c r="D93" s="112" t="s">
        <v>201</v>
      </c>
      <c r="E93" s="118" t="s">
        <v>1347</v>
      </c>
      <c r="F93" s="114" t="s">
        <v>1348</v>
      </c>
      <c r="G93" s="115">
        <v>41711</v>
      </c>
      <c r="H93" s="115">
        <v>41792</v>
      </c>
      <c r="I93" s="160">
        <f t="shared" ca="1" si="2"/>
        <v>-110</v>
      </c>
      <c r="J93" s="115" t="s">
        <v>89</v>
      </c>
      <c r="K93" s="115">
        <v>41771</v>
      </c>
      <c r="L93" s="115" t="s">
        <v>89</v>
      </c>
      <c r="M93" s="115" t="s">
        <v>89</v>
      </c>
      <c r="N93" s="115">
        <v>41774</v>
      </c>
      <c r="O93" s="115">
        <v>41801</v>
      </c>
      <c r="P93" s="115" t="s">
        <v>128</v>
      </c>
      <c r="Q93" s="118" t="s">
        <v>1505</v>
      </c>
      <c r="R93" s="112"/>
    </row>
    <row r="94" spans="1:18" ht="120" x14ac:dyDescent="0.2">
      <c r="A94" s="109" t="s">
        <v>1349</v>
      </c>
      <c r="B94" s="102">
        <v>1080584677</v>
      </c>
      <c r="C94" s="102">
        <v>1080583497</v>
      </c>
      <c r="D94" s="102" t="s">
        <v>1357</v>
      </c>
      <c r="E94" s="108" t="s">
        <v>1354</v>
      </c>
      <c r="F94" s="104" t="s">
        <v>244</v>
      </c>
      <c r="G94" s="105">
        <v>41712</v>
      </c>
      <c r="H94" s="105">
        <v>41834</v>
      </c>
      <c r="I94" s="155">
        <f t="shared" ca="1" si="2"/>
        <v>-80</v>
      </c>
      <c r="J94" s="105">
        <v>41596</v>
      </c>
      <c r="K94" s="105">
        <v>41719</v>
      </c>
      <c r="L94" s="105" t="s">
        <v>1287</v>
      </c>
      <c r="M94" s="105" t="s">
        <v>89</v>
      </c>
      <c r="N94" s="105" t="s">
        <v>113</v>
      </c>
      <c r="O94" s="105" t="s">
        <v>89</v>
      </c>
      <c r="P94" s="105"/>
      <c r="Q94" s="108"/>
      <c r="R94" s="102"/>
    </row>
    <row r="95" spans="1:18" ht="105" x14ac:dyDescent="0.2">
      <c r="A95" s="109" t="s">
        <v>1352</v>
      </c>
      <c r="B95" s="102">
        <v>1080584685</v>
      </c>
      <c r="C95" s="102">
        <v>1080584169</v>
      </c>
      <c r="D95" s="102" t="s">
        <v>265</v>
      </c>
      <c r="E95" s="108" t="s">
        <v>1359</v>
      </c>
      <c r="F95" s="104" t="s">
        <v>215</v>
      </c>
      <c r="G95" s="105">
        <v>41714</v>
      </c>
      <c r="H95" s="105">
        <v>41813</v>
      </c>
      <c r="I95" s="155">
        <f t="shared" ca="1" si="2"/>
        <v>-95</v>
      </c>
      <c r="J95" s="105" t="s">
        <v>89</v>
      </c>
      <c r="K95" s="105">
        <v>41789</v>
      </c>
      <c r="L95" s="105" t="s">
        <v>89</v>
      </c>
      <c r="M95" s="105" t="s">
        <v>89</v>
      </c>
      <c r="N95" s="105">
        <v>41789</v>
      </c>
      <c r="O95" s="105" t="s">
        <v>153</v>
      </c>
      <c r="P95" s="105"/>
      <c r="Q95" s="108"/>
      <c r="R95" s="102"/>
    </row>
    <row r="96" spans="1:18" ht="150" x14ac:dyDescent="0.2">
      <c r="A96" s="109" t="s">
        <v>1360</v>
      </c>
      <c r="B96" s="102">
        <v>1080584717</v>
      </c>
      <c r="C96" s="102">
        <v>1080583809</v>
      </c>
      <c r="D96" s="102" t="s">
        <v>201</v>
      </c>
      <c r="E96" s="108" t="s">
        <v>1366</v>
      </c>
      <c r="F96" s="104" t="s">
        <v>294</v>
      </c>
      <c r="G96" s="105">
        <v>41720</v>
      </c>
      <c r="H96" s="105">
        <v>41813</v>
      </c>
      <c r="I96" s="155">
        <f t="shared" ca="1" si="2"/>
        <v>-95</v>
      </c>
      <c r="J96" s="105">
        <v>41750</v>
      </c>
      <c r="K96" s="105">
        <v>41888</v>
      </c>
      <c r="L96" s="105">
        <v>41922</v>
      </c>
      <c r="M96" s="105" t="s">
        <v>89</v>
      </c>
      <c r="N96" s="105" t="s">
        <v>113</v>
      </c>
      <c r="O96" s="105" t="s">
        <v>1067</v>
      </c>
      <c r="P96" s="105"/>
      <c r="Q96" s="108"/>
      <c r="R96" s="102"/>
    </row>
    <row r="97" spans="1:18" ht="75" x14ac:dyDescent="0.2">
      <c r="A97" s="109" t="s">
        <v>1361</v>
      </c>
      <c r="B97" s="102">
        <v>1080584718</v>
      </c>
      <c r="C97" s="102">
        <v>1080583809</v>
      </c>
      <c r="D97" s="102" t="s">
        <v>201</v>
      </c>
      <c r="E97" s="108" t="s">
        <v>1367</v>
      </c>
      <c r="F97" s="104" t="s">
        <v>294</v>
      </c>
      <c r="G97" s="105">
        <v>41720</v>
      </c>
      <c r="H97" s="105">
        <v>41813</v>
      </c>
      <c r="I97" s="155">
        <f t="shared" ca="1" si="2"/>
        <v>-95</v>
      </c>
      <c r="J97" s="105" t="s">
        <v>89</v>
      </c>
      <c r="K97" s="105">
        <v>41885</v>
      </c>
      <c r="L97" s="105" t="s">
        <v>1371</v>
      </c>
      <c r="M97" s="105" t="s">
        <v>225</v>
      </c>
      <c r="N97" s="105" t="s">
        <v>113</v>
      </c>
      <c r="O97" s="105" t="s">
        <v>1067</v>
      </c>
      <c r="P97" s="105"/>
      <c r="Q97" s="108"/>
      <c r="R97" s="102"/>
    </row>
    <row r="98" spans="1:18" ht="75" x14ac:dyDescent="0.2">
      <c r="A98" s="109" t="s">
        <v>1363</v>
      </c>
      <c r="B98" s="102">
        <v>1080584720</v>
      </c>
      <c r="C98" s="102">
        <v>1080583809</v>
      </c>
      <c r="D98" s="102" t="s">
        <v>201</v>
      </c>
      <c r="E98" s="108" t="s">
        <v>1369</v>
      </c>
      <c r="F98" s="104" t="s">
        <v>294</v>
      </c>
      <c r="G98" s="105">
        <v>41720</v>
      </c>
      <c r="H98" s="105">
        <v>41953</v>
      </c>
      <c r="I98" s="155">
        <f t="shared" ca="1" si="2"/>
        <v>7</v>
      </c>
      <c r="J98" s="105" t="s">
        <v>89</v>
      </c>
      <c r="K98" s="105">
        <v>41909</v>
      </c>
      <c r="L98" s="105" t="s">
        <v>89</v>
      </c>
      <c r="M98" s="105" t="s">
        <v>89</v>
      </c>
      <c r="N98" s="105">
        <v>41933</v>
      </c>
      <c r="O98" s="105" t="s">
        <v>1067</v>
      </c>
      <c r="P98" s="105"/>
      <c r="Q98" s="108"/>
      <c r="R98" s="102"/>
    </row>
    <row r="99" spans="1:18" ht="105" x14ac:dyDescent="0.2">
      <c r="A99" s="109" t="s">
        <v>1364</v>
      </c>
      <c r="B99" s="102">
        <v>1080584721</v>
      </c>
      <c r="C99" s="102">
        <v>1080583809</v>
      </c>
      <c r="D99" s="102" t="s">
        <v>201</v>
      </c>
      <c r="E99" s="108" t="s">
        <v>1370</v>
      </c>
      <c r="F99" s="104" t="s">
        <v>111</v>
      </c>
      <c r="G99" s="105">
        <v>41720</v>
      </c>
      <c r="H99" s="105">
        <v>41813</v>
      </c>
      <c r="I99" s="155">
        <f t="shared" ref="I99:I130" ca="1" si="3">IF(H99&lt;&gt;0,NETWORKDAYS(TODAY(),H99),"")</f>
        <v>-95</v>
      </c>
      <c r="J99" s="105">
        <v>41788</v>
      </c>
      <c r="K99" s="105">
        <v>41757</v>
      </c>
      <c r="L99" s="105" t="s">
        <v>89</v>
      </c>
      <c r="M99" s="105" t="s">
        <v>89</v>
      </c>
      <c r="N99" s="105" t="s">
        <v>113</v>
      </c>
      <c r="O99" s="105" t="s">
        <v>1067</v>
      </c>
      <c r="P99" s="105"/>
      <c r="Q99" s="108"/>
      <c r="R99" s="102"/>
    </row>
    <row r="100" spans="1:18" ht="75" x14ac:dyDescent="0.2">
      <c r="A100" s="109" t="s">
        <v>1373</v>
      </c>
      <c r="B100" s="102">
        <v>1080584763</v>
      </c>
      <c r="C100" s="102">
        <v>1080583929</v>
      </c>
      <c r="D100" s="102" t="s">
        <v>265</v>
      </c>
      <c r="E100" s="108" t="s">
        <v>1379</v>
      </c>
      <c r="F100" s="104" t="s">
        <v>135</v>
      </c>
      <c r="G100" s="105">
        <v>41726</v>
      </c>
      <c r="H100" s="105">
        <v>41810</v>
      </c>
      <c r="I100" s="155">
        <f t="shared" ca="1" si="3"/>
        <v>-96</v>
      </c>
      <c r="J100" s="105" t="s">
        <v>89</v>
      </c>
      <c r="K100" s="105">
        <v>41736</v>
      </c>
      <c r="L100" s="105" t="s">
        <v>89</v>
      </c>
      <c r="M100" s="105" t="s">
        <v>89</v>
      </c>
      <c r="N100" s="105" t="s">
        <v>136</v>
      </c>
      <c r="O100" s="105" t="s">
        <v>1067</v>
      </c>
      <c r="P100" s="105"/>
      <c r="Q100" s="108"/>
      <c r="R100" s="102"/>
    </row>
    <row r="101" spans="1:18" ht="60" x14ac:dyDescent="0.2">
      <c r="A101" s="109" t="s">
        <v>1374</v>
      </c>
      <c r="B101" s="102">
        <v>1080584764</v>
      </c>
      <c r="C101" s="102">
        <v>1080582505</v>
      </c>
      <c r="D101" s="102" t="s">
        <v>265</v>
      </c>
      <c r="E101" s="108" t="s">
        <v>1380</v>
      </c>
      <c r="F101" s="104" t="s">
        <v>1381</v>
      </c>
      <c r="G101" s="105">
        <v>41728</v>
      </c>
      <c r="H101" s="105">
        <v>41813</v>
      </c>
      <c r="I101" s="155">
        <f t="shared" ca="1" si="3"/>
        <v>-95</v>
      </c>
      <c r="J101" s="105">
        <v>41675</v>
      </c>
      <c r="K101" s="105" t="s">
        <v>89</v>
      </c>
      <c r="L101" s="105" t="s">
        <v>89</v>
      </c>
      <c r="M101" s="105" t="s">
        <v>89</v>
      </c>
      <c r="N101" s="105" t="s">
        <v>136</v>
      </c>
      <c r="O101" s="105" t="s">
        <v>1067</v>
      </c>
      <c r="P101" s="105"/>
      <c r="Q101" s="108"/>
      <c r="R101" s="102"/>
    </row>
    <row r="102" spans="1:18" ht="75" x14ac:dyDescent="0.2">
      <c r="A102" s="109" t="s">
        <v>1376</v>
      </c>
      <c r="B102" s="102">
        <v>1080584766</v>
      </c>
      <c r="C102" s="102">
        <v>1080583458</v>
      </c>
      <c r="D102" s="102" t="s">
        <v>1122</v>
      </c>
      <c r="E102" s="108" t="s">
        <v>1383</v>
      </c>
      <c r="F102" s="104" t="s">
        <v>167</v>
      </c>
      <c r="G102" s="105">
        <v>41728</v>
      </c>
      <c r="H102" s="105">
        <v>41813</v>
      </c>
      <c r="I102" s="155">
        <f t="shared" ca="1" si="3"/>
        <v>-95</v>
      </c>
      <c r="J102" s="105">
        <v>41731</v>
      </c>
      <c r="K102" s="105">
        <v>41800</v>
      </c>
      <c r="L102" s="105" t="s">
        <v>89</v>
      </c>
      <c r="M102" s="105" t="s">
        <v>89</v>
      </c>
      <c r="N102" s="105" t="s">
        <v>99</v>
      </c>
      <c r="O102" s="105" t="s">
        <v>207</v>
      </c>
      <c r="P102" s="105"/>
      <c r="Q102" s="108"/>
      <c r="R102" s="102"/>
    </row>
    <row r="103" spans="1:18" ht="90" x14ac:dyDescent="0.2">
      <c r="A103" s="109" t="s">
        <v>1385</v>
      </c>
      <c r="B103" s="102">
        <v>1080584817</v>
      </c>
      <c r="C103" s="102">
        <v>1080583916</v>
      </c>
      <c r="D103" s="102" t="s">
        <v>677</v>
      </c>
      <c r="E103" s="108" t="s">
        <v>1392</v>
      </c>
      <c r="F103" s="104" t="s">
        <v>244</v>
      </c>
      <c r="G103" s="105">
        <v>41733</v>
      </c>
      <c r="H103" s="105">
        <v>42149</v>
      </c>
      <c r="I103" s="155">
        <f t="shared" ca="1" si="3"/>
        <v>147</v>
      </c>
      <c r="J103" s="105">
        <v>41934</v>
      </c>
      <c r="K103" s="105" t="s">
        <v>112</v>
      </c>
      <c r="L103" s="105" t="s">
        <v>1371</v>
      </c>
      <c r="M103" s="105" t="s">
        <v>89</v>
      </c>
      <c r="N103" s="105" t="s">
        <v>290</v>
      </c>
      <c r="O103" s="105" t="s">
        <v>1067</v>
      </c>
      <c r="P103" s="105"/>
      <c r="Q103" s="108"/>
      <c r="R103" s="102"/>
    </row>
    <row r="104" spans="1:18" ht="165" x14ac:dyDescent="0.2">
      <c r="A104" s="109" t="s">
        <v>1386</v>
      </c>
      <c r="B104" s="102">
        <v>1080584819</v>
      </c>
      <c r="C104" s="102">
        <v>1080583916</v>
      </c>
      <c r="D104" s="102" t="s">
        <v>1403</v>
      </c>
      <c r="E104" s="108" t="s">
        <v>1393</v>
      </c>
      <c r="F104" s="104" t="s">
        <v>244</v>
      </c>
      <c r="G104" s="105">
        <v>41733</v>
      </c>
      <c r="H104" s="105">
        <v>42212</v>
      </c>
      <c r="I104" s="155">
        <f t="shared" ca="1" si="3"/>
        <v>192</v>
      </c>
      <c r="J104" s="105" t="s">
        <v>259</v>
      </c>
      <c r="K104" s="105" t="s">
        <v>112</v>
      </c>
      <c r="L104" s="105" t="s">
        <v>1371</v>
      </c>
      <c r="M104" s="105" t="s">
        <v>89</v>
      </c>
      <c r="N104" s="105" t="s">
        <v>290</v>
      </c>
      <c r="O104" s="105" t="s">
        <v>1067</v>
      </c>
      <c r="P104" s="105"/>
      <c r="Q104" s="108"/>
      <c r="R104" s="102"/>
    </row>
    <row r="105" spans="1:18" ht="90" x14ac:dyDescent="0.2">
      <c r="A105" s="109" t="s">
        <v>1395</v>
      </c>
      <c r="B105" s="102">
        <v>1080584837</v>
      </c>
      <c r="C105" s="102">
        <v>1080583945</v>
      </c>
      <c r="D105" s="102" t="s">
        <v>201</v>
      </c>
      <c r="E105" s="108" t="s">
        <v>1398</v>
      </c>
      <c r="F105" s="104" t="s">
        <v>111</v>
      </c>
      <c r="G105" s="105">
        <v>41737</v>
      </c>
      <c r="H105" s="105">
        <v>41821</v>
      </c>
      <c r="I105" s="155">
        <f t="shared" ca="1" si="3"/>
        <v>-89</v>
      </c>
      <c r="J105" s="105" t="s">
        <v>89</v>
      </c>
      <c r="K105" s="105">
        <v>41916</v>
      </c>
      <c r="L105" s="105" t="s">
        <v>1399</v>
      </c>
      <c r="M105" s="105" t="s">
        <v>89</v>
      </c>
      <c r="N105" s="105" t="s">
        <v>113</v>
      </c>
      <c r="O105" s="105" t="s">
        <v>207</v>
      </c>
      <c r="P105" s="105"/>
      <c r="Q105" s="108"/>
      <c r="R105" s="102"/>
    </row>
    <row r="106" spans="1:18" ht="165" x14ac:dyDescent="0.2">
      <c r="A106" s="109" t="s">
        <v>1400</v>
      </c>
      <c r="B106" s="102">
        <v>1080584870</v>
      </c>
      <c r="C106" s="102">
        <v>1080583656</v>
      </c>
      <c r="D106" s="102" t="s">
        <v>1119</v>
      </c>
      <c r="E106" s="108" t="s">
        <v>1402</v>
      </c>
      <c r="F106" s="104" t="s">
        <v>1192</v>
      </c>
      <c r="G106" s="105">
        <v>41742</v>
      </c>
      <c r="H106" s="105">
        <v>41880</v>
      </c>
      <c r="I106" s="155">
        <f t="shared" ca="1" si="3"/>
        <v>-46</v>
      </c>
      <c r="J106" s="105" t="s">
        <v>89</v>
      </c>
      <c r="K106" s="105" t="s">
        <v>98</v>
      </c>
      <c r="L106" s="105" t="s">
        <v>171</v>
      </c>
      <c r="M106" s="105" t="s">
        <v>89</v>
      </c>
      <c r="N106" s="105" t="s">
        <v>99</v>
      </c>
      <c r="O106" s="105" t="s">
        <v>207</v>
      </c>
      <c r="P106" s="105"/>
      <c r="Q106" s="108"/>
      <c r="R106" s="102"/>
    </row>
    <row r="107" spans="1:18" ht="75" x14ac:dyDescent="0.2">
      <c r="A107" s="109" t="s">
        <v>1405</v>
      </c>
      <c r="B107" s="102">
        <v>1080584886</v>
      </c>
      <c r="C107" s="102">
        <v>1080584034</v>
      </c>
      <c r="D107" s="102" t="s">
        <v>139</v>
      </c>
      <c r="E107" s="108" t="s">
        <v>1412</v>
      </c>
      <c r="F107" s="104" t="s">
        <v>140</v>
      </c>
      <c r="G107" s="105">
        <v>41745</v>
      </c>
      <c r="H107" s="105">
        <v>41939</v>
      </c>
      <c r="I107" s="155">
        <f t="shared" ca="1" si="3"/>
        <v>-5</v>
      </c>
      <c r="J107" s="105">
        <v>41750</v>
      </c>
      <c r="K107" s="105">
        <v>41912</v>
      </c>
      <c r="L107" s="105">
        <v>41912</v>
      </c>
      <c r="M107" s="105" t="s">
        <v>89</v>
      </c>
      <c r="N107" s="105">
        <v>41928</v>
      </c>
      <c r="O107" s="105" t="s">
        <v>1067</v>
      </c>
      <c r="P107" s="105"/>
      <c r="Q107" s="108"/>
      <c r="R107" s="102"/>
    </row>
    <row r="108" spans="1:18" ht="150" x14ac:dyDescent="0.2">
      <c r="A108" s="109" t="s">
        <v>1404</v>
      </c>
      <c r="B108" s="102">
        <v>1080584900</v>
      </c>
      <c r="C108" s="102" t="s">
        <v>1410</v>
      </c>
      <c r="D108" s="102" t="s">
        <v>479</v>
      </c>
      <c r="E108" s="108" t="s">
        <v>1411</v>
      </c>
      <c r="F108" s="104" t="s">
        <v>215</v>
      </c>
      <c r="G108" s="105">
        <v>41745</v>
      </c>
      <c r="H108" s="105">
        <v>41829</v>
      </c>
      <c r="I108" s="155">
        <f t="shared" ca="1" si="3"/>
        <v>-83</v>
      </c>
      <c r="J108" s="105" t="s">
        <v>89</v>
      </c>
      <c r="K108" s="105">
        <v>41660</v>
      </c>
      <c r="L108" s="105" t="s">
        <v>89</v>
      </c>
      <c r="M108" s="105" t="s">
        <v>89</v>
      </c>
      <c r="N108" s="105" t="s">
        <v>94</v>
      </c>
      <c r="O108" s="105" t="s">
        <v>89</v>
      </c>
      <c r="P108" s="105"/>
      <c r="Q108" s="108"/>
      <c r="R108" s="102"/>
    </row>
    <row r="109" spans="1:18" ht="75" x14ac:dyDescent="0.2">
      <c r="A109" s="110" t="s">
        <v>1414</v>
      </c>
      <c r="B109" s="112">
        <v>1080584919</v>
      </c>
      <c r="C109" s="112">
        <v>1080584123</v>
      </c>
      <c r="D109" s="112" t="s">
        <v>677</v>
      </c>
      <c r="E109" s="118" t="s">
        <v>1415</v>
      </c>
      <c r="F109" s="114" t="s">
        <v>244</v>
      </c>
      <c r="G109" s="115">
        <v>41749</v>
      </c>
      <c r="H109" s="115">
        <v>41852</v>
      </c>
      <c r="I109" s="160">
        <f t="shared" ca="1" si="3"/>
        <v>-66</v>
      </c>
      <c r="J109" s="115" t="s">
        <v>89</v>
      </c>
      <c r="K109" s="115" t="s">
        <v>89</v>
      </c>
      <c r="L109" s="115" t="s">
        <v>89</v>
      </c>
      <c r="M109" s="115" t="s">
        <v>89</v>
      </c>
      <c r="N109" s="115">
        <v>41878</v>
      </c>
      <c r="O109" s="115" t="s">
        <v>89</v>
      </c>
      <c r="P109" s="115" t="s">
        <v>128</v>
      </c>
      <c r="Q109" s="118" t="s">
        <v>1705</v>
      </c>
      <c r="R109" s="112"/>
    </row>
    <row r="110" spans="1:18" ht="150" x14ac:dyDescent="0.2">
      <c r="A110" s="171" t="s">
        <v>1416</v>
      </c>
      <c r="B110" s="172">
        <v>1080584945</v>
      </c>
      <c r="C110" s="172">
        <v>1080582585</v>
      </c>
      <c r="D110" s="172" t="s">
        <v>1428</v>
      </c>
      <c r="E110" s="173" t="s">
        <v>1418</v>
      </c>
      <c r="F110" s="174" t="s">
        <v>111</v>
      </c>
      <c r="G110" s="175">
        <v>41752</v>
      </c>
      <c r="H110" s="175">
        <v>42111</v>
      </c>
      <c r="I110" s="176">
        <f t="shared" ca="1" si="3"/>
        <v>121</v>
      </c>
      <c r="J110" s="175" t="s">
        <v>1419</v>
      </c>
      <c r="K110" s="175" t="s">
        <v>161</v>
      </c>
      <c r="L110" s="175" t="s">
        <v>286</v>
      </c>
      <c r="M110" s="175" t="s">
        <v>89</v>
      </c>
      <c r="N110" s="175" t="s">
        <v>1420</v>
      </c>
      <c r="O110" s="175" t="s">
        <v>207</v>
      </c>
      <c r="P110" s="175"/>
      <c r="Q110" s="173"/>
      <c r="R110" s="172"/>
    </row>
    <row r="111" spans="1:18" ht="75" x14ac:dyDescent="0.2">
      <c r="A111" s="109" t="s">
        <v>1421</v>
      </c>
      <c r="B111" s="102">
        <v>1080584963</v>
      </c>
      <c r="C111" s="102">
        <v>1080584551</v>
      </c>
      <c r="D111" s="102" t="s">
        <v>677</v>
      </c>
      <c r="E111" s="108" t="s">
        <v>1425</v>
      </c>
      <c r="F111" s="104" t="s">
        <v>679</v>
      </c>
      <c r="G111" s="105">
        <v>41756</v>
      </c>
      <c r="H111" s="105">
        <v>41859</v>
      </c>
      <c r="I111" s="155">
        <f t="shared" ca="1" si="3"/>
        <v>-61</v>
      </c>
      <c r="J111" s="105" t="s">
        <v>89</v>
      </c>
      <c r="K111" s="105">
        <v>41921</v>
      </c>
      <c r="L111" s="105" t="s">
        <v>171</v>
      </c>
      <c r="M111" s="105" t="s">
        <v>89</v>
      </c>
      <c r="N111" s="105" t="s">
        <v>1048</v>
      </c>
      <c r="O111" s="105" t="s">
        <v>153</v>
      </c>
      <c r="P111" s="105"/>
      <c r="Q111" s="108"/>
      <c r="R111" s="102"/>
    </row>
    <row r="112" spans="1:18" ht="135" x14ac:dyDescent="0.2">
      <c r="A112" s="109" t="s">
        <v>1422</v>
      </c>
      <c r="B112" s="102">
        <v>1080584964</v>
      </c>
      <c r="C112" s="102">
        <v>1080584551</v>
      </c>
      <c r="D112" s="102" t="s">
        <v>1010</v>
      </c>
      <c r="E112" s="108" t="s">
        <v>1426</v>
      </c>
      <c r="F112" s="104" t="s">
        <v>111</v>
      </c>
      <c r="G112" s="105">
        <v>41756</v>
      </c>
      <c r="H112" s="105">
        <v>41988</v>
      </c>
      <c r="I112" s="155">
        <f t="shared" ca="1" si="3"/>
        <v>32</v>
      </c>
      <c r="J112" s="105" t="s">
        <v>89</v>
      </c>
      <c r="K112" s="105" t="s">
        <v>161</v>
      </c>
      <c r="L112" s="105">
        <v>41927</v>
      </c>
      <c r="M112" s="105" t="s">
        <v>89</v>
      </c>
      <c r="N112" s="105" t="s">
        <v>1420</v>
      </c>
      <c r="O112" s="105" t="s">
        <v>230</v>
      </c>
      <c r="P112" s="105"/>
      <c r="Q112" s="108"/>
      <c r="R112" s="156" t="s">
        <v>1713</v>
      </c>
    </row>
    <row r="113" spans="1:18" ht="210" x14ac:dyDescent="0.2">
      <c r="A113" s="109" t="s">
        <v>1423</v>
      </c>
      <c r="B113" s="102">
        <v>1080584965</v>
      </c>
      <c r="C113" s="102">
        <v>1080584551</v>
      </c>
      <c r="D113" s="102" t="s">
        <v>1010</v>
      </c>
      <c r="E113" s="108" t="s">
        <v>1427</v>
      </c>
      <c r="F113" s="104" t="s">
        <v>111</v>
      </c>
      <c r="G113" s="105">
        <v>41756</v>
      </c>
      <c r="H113" s="105">
        <v>41859</v>
      </c>
      <c r="I113" s="155">
        <f t="shared" ca="1" si="3"/>
        <v>-61</v>
      </c>
      <c r="J113" s="105" t="s">
        <v>1558</v>
      </c>
      <c r="K113" s="105">
        <v>41794</v>
      </c>
      <c r="L113" s="105">
        <v>41866</v>
      </c>
      <c r="M113" s="105" t="s">
        <v>89</v>
      </c>
      <c r="N113" s="105" t="s">
        <v>104</v>
      </c>
      <c r="O113" s="105" t="s">
        <v>207</v>
      </c>
      <c r="P113" s="105"/>
      <c r="Q113" s="108"/>
      <c r="R113" s="102"/>
    </row>
    <row r="114" spans="1:18" ht="105" x14ac:dyDescent="0.2">
      <c r="A114" s="109" t="s">
        <v>1433</v>
      </c>
      <c r="B114" s="102">
        <v>1080585056</v>
      </c>
      <c r="C114" s="102">
        <v>1080584401</v>
      </c>
      <c r="D114" s="102" t="s">
        <v>118</v>
      </c>
      <c r="E114" s="108" t="s">
        <v>1435</v>
      </c>
      <c r="F114" s="104" t="s">
        <v>215</v>
      </c>
      <c r="G114" s="105">
        <v>41767</v>
      </c>
      <c r="H114" s="105">
        <v>41851</v>
      </c>
      <c r="I114" s="155">
        <f t="shared" ca="1" si="3"/>
        <v>-67</v>
      </c>
      <c r="J114" s="105" t="s">
        <v>89</v>
      </c>
      <c r="K114" s="105">
        <v>41773</v>
      </c>
      <c r="L114" s="105" t="s">
        <v>89</v>
      </c>
      <c r="M114" s="105" t="s">
        <v>89</v>
      </c>
      <c r="N114" s="105">
        <v>41768</v>
      </c>
      <c r="O114" s="105" t="s">
        <v>1458</v>
      </c>
      <c r="P114" s="105"/>
      <c r="Q114" s="108"/>
      <c r="R114" s="102"/>
    </row>
    <row r="115" spans="1:18" ht="165" x14ac:dyDescent="0.2">
      <c r="A115" s="109" t="s">
        <v>1438</v>
      </c>
      <c r="B115" s="102">
        <v>1080585097</v>
      </c>
      <c r="C115" s="102">
        <v>1080584630</v>
      </c>
      <c r="D115" s="102" t="s">
        <v>201</v>
      </c>
      <c r="E115" s="108" t="s">
        <v>1439</v>
      </c>
      <c r="F115" s="104" t="s">
        <v>294</v>
      </c>
      <c r="G115" s="105">
        <v>41774</v>
      </c>
      <c r="H115" s="105">
        <v>41859</v>
      </c>
      <c r="I115" s="155">
        <f t="shared" ca="1" si="3"/>
        <v>-61</v>
      </c>
      <c r="J115" s="105">
        <v>41775</v>
      </c>
      <c r="K115" s="105">
        <v>41928</v>
      </c>
      <c r="L115" s="105">
        <v>41775</v>
      </c>
      <c r="M115" s="105" t="s">
        <v>89</v>
      </c>
      <c r="N115" s="105" t="s">
        <v>1628</v>
      </c>
      <c r="O115" s="105" t="s">
        <v>1459</v>
      </c>
      <c r="P115" s="105"/>
      <c r="Q115" s="108"/>
      <c r="R115" s="102"/>
    </row>
    <row r="116" spans="1:18" ht="105" x14ac:dyDescent="0.2">
      <c r="A116" s="109" t="s">
        <v>1441</v>
      </c>
      <c r="B116" s="102">
        <v>1080585110</v>
      </c>
      <c r="C116" s="102">
        <v>1080584058</v>
      </c>
      <c r="D116" s="102" t="s">
        <v>201</v>
      </c>
      <c r="E116" s="108" t="s">
        <v>1450</v>
      </c>
      <c r="F116" s="104" t="s">
        <v>294</v>
      </c>
      <c r="G116" s="105">
        <v>41777</v>
      </c>
      <c r="H116" s="105">
        <v>41862</v>
      </c>
      <c r="I116" s="155">
        <f t="shared" ca="1" si="3"/>
        <v>-60</v>
      </c>
      <c r="J116" s="105">
        <v>41775</v>
      </c>
      <c r="K116" s="105">
        <v>41928</v>
      </c>
      <c r="L116" s="105" t="s">
        <v>1469</v>
      </c>
      <c r="M116" s="105" t="s">
        <v>89</v>
      </c>
      <c r="N116" s="105" t="s">
        <v>1629</v>
      </c>
      <c r="O116" s="105" t="s">
        <v>1467</v>
      </c>
      <c r="P116" s="105"/>
      <c r="Q116" s="108"/>
      <c r="R116" s="102"/>
    </row>
    <row r="117" spans="1:18" ht="165" x14ac:dyDescent="0.2">
      <c r="A117" s="109" t="s">
        <v>1442</v>
      </c>
      <c r="B117" s="102">
        <v>1080585111</v>
      </c>
      <c r="C117" s="102">
        <v>1080584058</v>
      </c>
      <c r="D117" s="102" t="s">
        <v>201</v>
      </c>
      <c r="E117" s="108" t="s">
        <v>1451</v>
      </c>
      <c r="F117" s="104" t="s">
        <v>294</v>
      </c>
      <c r="G117" s="105">
        <v>41777</v>
      </c>
      <c r="H117" s="105">
        <v>41869</v>
      </c>
      <c r="I117" s="155">
        <f t="shared" ca="1" si="3"/>
        <v>-55</v>
      </c>
      <c r="J117" s="105">
        <v>41775</v>
      </c>
      <c r="K117" s="105">
        <v>41941</v>
      </c>
      <c r="L117" s="105" t="s">
        <v>89</v>
      </c>
      <c r="M117" s="105" t="s">
        <v>89</v>
      </c>
      <c r="N117" s="105" t="s">
        <v>1629</v>
      </c>
      <c r="O117" s="105" t="s">
        <v>1468</v>
      </c>
      <c r="P117" s="105"/>
      <c r="Q117" s="108"/>
      <c r="R117" s="102"/>
    </row>
    <row r="118" spans="1:18" ht="90" x14ac:dyDescent="0.2">
      <c r="A118" s="109" t="s">
        <v>1452</v>
      </c>
      <c r="B118" s="102">
        <v>1080585124</v>
      </c>
      <c r="C118" s="102" t="s">
        <v>1455</v>
      </c>
      <c r="D118" s="102" t="s">
        <v>118</v>
      </c>
      <c r="E118" s="108" t="s">
        <v>1456</v>
      </c>
      <c r="F118" s="104" t="s">
        <v>1457</v>
      </c>
      <c r="G118" s="105">
        <v>41779</v>
      </c>
      <c r="H118" s="105">
        <v>41848</v>
      </c>
      <c r="I118" s="155">
        <f t="shared" ca="1" si="3"/>
        <v>-70</v>
      </c>
      <c r="J118" s="105" t="s">
        <v>89</v>
      </c>
      <c r="K118" s="105">
        <v>41915</v>
      </c>
      <c r="L118" s="105" t="s">
        <v>89</v>
      </c>
      <c r="M118" s="105" t="s">
        <v>89</v>
      </c>
      <c r="N118" s="105" t="s">
        <v>1460</v>
      </c>
      <c r="O118" s="105" t="s">
        <v>1461</v>
      </c>
      <c r="P118" s="105"/>
      <c r="Q118" s="108"/>
      <c r="R118" s="102"/>
    </row>
    <row r="119" spans="1:18" ht="180" x14ac:dyDescent="0.2">
      <c r="A119" s="109" t="s">
        <v>1463</v>
      </c>
      <c r="B119" s="102">
        <v>1080585172</v>
      </c>
      <c r="C119" s="102">
        <v>1080584828</v>
      </c>
      <c r="D119" s="102" t="s">
        <v>110</v>
      </c>
      <c r="E119" s="108" t="s">
        <v>1466</v>
      </c>
      <c r="F119" s="104" t="s">
        <v>174</v>
      </c>
      <c r="G119" s="105">
        <v>41784</v>
      </c>
      <c r="H119" s="105">
        <v>42051</v>
      </c>
      <c r="I119" s="155">
        <f t="shared" ca="1" si="3"/>
        <v>77</v>
      </c>
      <c r="J119" s="105">
        <v>41815</v>
      </c>
      <c r="K119" s="105" t="s">
        <v>1726</v>
      </c>
      <c r="L119" s="105" t="s">
        <v>1739</v>
      </c>
      <c r="M119" s="105" t="s">
        <v>89</v>
      </c>
      <c r="N119" s="105" t="s">
        <v>1740</v>
      </c>
      <c r="O119" s="105" t="s">
        <v>207</v>
      </c>
      <c r="P119" s="105"/>
      <c r="Q119" s="108"/>
      <c r="R119" s="156" t="s">
        <v>1714</v>
      </c>
    </row>
    <row r="120" spans="1:18" ht="105" x14ac:dyDescent="0.2">
      <c r="A120" s="109" t="s">
        <v>1470</v>
      </c>
      <c r="B120" s="102">
        <v>1080585201</v>
      </c>
      <c r="C120" s="102">
        <v>1080583582</v>
      </c>
      <c r="D120" s="102" t="s">
        <v>1647</v>
      </c>
      <c r="E120" s="108" t="s">
        <v>1478</v>
      </c>
      <c r="F120" s="104" t="s">
        <v>255</v>
      </c>
      <c r="G120" s="105">
        <v>41789</v>
      </c>
      <c r="H120" s="105">
        <v>41960</v>
      </c>
      <c r="I120" s="155">
        <f t="shared" ca="1" si="3"/>
        <v>12</v>
      </c>
      <c r="J120" s="105" t="s">
        <v>972</v>
      </c>
      <c r="K120" s="105" t="s">
        <v>89</v>
      </c>
      <c r="L120" s="105" t="s">
        <v>89</v>
      </c>
      <c r="M120" s="105" t="s">
        <v>89</v>
      </c>
      <c r="N120" s="105" t="s">
        <v>136</v>
      </c>
      <c r="O120" s="105" t="s">
        <v>1067</v>
      </c>
      <c r="P120" s="105"/>
      <c r="Q120" s="108"/>
      <c r="R120" s="102"/>
    </row>
    <row r="121" spans="1:18" ht="60" x14ac:dyDescent="0.2">
      <c r="A121" s="109" t="s">
        <v>1471</v>
      </c>
      <c r="B121" s="102">
        <v>1080585202</v>
      </c>
      <c r="C121" s="102">
        <v>1080584541</v>
      </c>
      <c r="D121" s="102" t="s">
        <v>1648</v>
      </c>
      <c r="E121" s="108" t="s">
        <v>1479</v>
      </c>
      <c r="F121" s="104" t="s">
        <v>215</v>
      </c>
      <c r="G121" s="105">
        <v>41790</v>
      </c>
      <c r="H121" s="105">
        <v>41953</v>
      </c>
      <c r="I121" s="155">
        <f t="shared" ca="1" si="3"/>
        <v>7</v>
      </c>
      <c r="J121" s="105" t="s">
        <v>89</v>
      </c>
      <c r="K121" s="105" t="s">
        <v>1487</v>
      </c>
      <c r="L121" s="105" t="s">
        <v>89</v>
      </c>
      <c r="M121" s="105" t="s">
        <v>89</v>
      </c>
      <c r="N121" s="105">
        <v>41698</v>
      </c>
      <c r="O121" s="105" t="s">
        <v>153</v>
      </c>
      <c r="P121" s="105"/>
      <c r="Q121" s="108"/>
      <c r="R121" s="102"/>
    </row>
    <row r="122" spans="1:18" ht="75" x14ac:dyDescent="0.2">
      <c r="A122" s="110" t="s">
        <v>1472</v>
      </c>
      <c r="B122" s="112">
        <v>1080585203</v>
      </c>
      <c r="C122" s="112">
        <v>1080584497</v>
      </c>
      <c r="D122" s="112" t="s">
        <v>1649</v>
      </c>
      <c r="E122" s="118" t="s">
        <v>1480</v>
      </c>
      <c r="F122" s="114" t="s">
        <v>244</v>
      </c>
      <c r="G122" s="115">
        <v>41791</v>
      </c>
      <c r="H122" s="115">
        <v>41887</v>
      </c>
      <c r="I122" s="160">
        <f t="shared" ca="1" si="3"/>
        <v>-41</v>
      </c>
      <c r="J122" s="115" t="s">
        <v>89</v>
      </c>
      <c r="K122" s="115" t="s">
        <v>89</v>
      </c>
      <c r="L122" s="115" t="s">
        <v>89</v>
      </c>
      <c r="M122" s="115" t="s">
        <v>89</v>
      </c>
      <c r="N122" s="115">
        <v>41926</v>
      </c>
      <c r="O122" s="115" t="s">
        <v>89</v>
      </c>
      <c r="P122" s="115" t="s">
        <v>128</v>
      </c>
      <c r="Q122" s="118" t="s">
        <v>1722</v>
      </c>
      <c r="R122" s="112"/>
    </row>
    <row r="123" spans="1:18" ht="120" x14ac:dyDescent="0.2">
      <c r="A123" s="171" t="s">
        <v>1481</v>
      </c>
      <c r="B123" s="172">
        <v>1080585222</v>
      </c>
      <c r="C123" s="172">
        <v>1080584224</v>
      </c>
      <c r="D123" s="172" t="s">
        <v>1650</v>
      </c>
      <c r="E123" s="173" t="s">
        <v>1485</v>
      </c>
      <c r="F123" s="174" t="s">
        <v>315</v>
      </c>
      <c r="G123" s="175">
        <v>41794</v>
      </c>
      <c r="H123" s="175">
        <v>41859</v>
      </c>
      <c r="I123" s="176">
        <f t="shared" ca="1" si="3"/>
        <v>-61</v>
      </c>
      <c r="J123" s="175" t="s">
        <v>89</v>
      </c>
      <c r="K123" s="175" t="s">
        <v>1488</v>
      </c>
      <c r="L123" s="175" t="s">
        <v>89</v>
      </c>
      <c r="M123" s="175" t="s">
        <v>89</v>
      </c>
      <c r="N123" s="175" t="s">
        <v>1489</v>
      </c>
      <c r="O123" s="175" t="s">
        <v>89</v>
      </c>
      <c r="P123" s="175"/>
      <c r="Q123" s="173"/>
      <c r="R123" s="172"/>
    </row>
    <row r="124" spans="1:18" ht="90" x14ac:dyDescent="0.2">
      <c r="A124" s="110" t="s">
        <v>1482</v>
      </c>
      <c r="B124" s="112">
        <v>1080585227</v>
      </c>
      <c r="C124" s="112">
        <v>1080584222</v>
      </c>
      <c r="D124" s="112" t="s">
        <v>201</v>
      </c>
      <c r="E124" s="118" t="s">
        <v>1486</v>
      </c>
      <c r="F124" s="114" t="s">
        <v>294</v>
      </c>
      <c r="G124" s="115">
        <v>41794</v>
      </c>
      <c r="H124" s="115">
        <v>41887</v>
      </c>
      <c r="I124" s="160">
        <f t="shared" ca="1" si="3"/>
        <v>-41</v>
      </c>
      <c r="J124" s="115" t="s">
        <v>89</v>
      </c>
      <c r="K124" s="115" t="s">
        <v>89</v>
      </c>
      <c r="L124" s="115" t="s">
        <v>89</v>
      </c>
      <c r="M124" s="115" t="s">
        <v>89</v>
      </c>
      <c r="N124" s="115">
        <v>41885</v>
      </c>
      <c r="O124" s="115" t="s">
        <v>89</v>
      </c>
      <c r="P124" s="115" t="s">
        <v>128</v>
      </c>
      <c r="Q124" s="118" t="s">
        <v>1706</v>
      </c>
      <c r="R124" s="112"/>
    </row>
    <row r="125" spans="1:18" ht="75" x14ac:dyDescent="0.2">
      <c r="A125" s="109" t="s">
        <v>1490</v>
      </c>
      <c r="B125" s="102">
        <v>1080585241</v>
      </c>
      <c r="C125" s="102">
        <v>1080584447</v>
      </c>
      <c r="D125" s="102" t="s">
        <v>1651</v>
      </c>
      <c r="E125" s="108" t="s">
        <v>1494</v>
      </c>
      <c r="F125" s="104" t="s">
        <v>244</v>
      </c>
      <c r="G125" s="105">
        <v>41796</v>
      </c>
      <c r="H125" s="105">
        <v>41943</v>
      </c>
      <c r="I125" s="155">
        <f t="shared" ca="1" si="3"/>
        <v>1</v>
      </c>
      <c r="J125" s="105">
        <v>41918</v>
      </c>
      <c r="K125" s="105" t="s">
        <v>1559</v>
      </c>
      <c r="L125" s="105" t="s">
        <v>1560</v>
      </c>
      <c r="M125" s="105" t="s">
        <v>89</v>
      </c>
      <c r="N125" s="105" t="s">
        <v>1561</v>
      </c>
      <c r="O125" s="105" t="s">
        <v>1562</v>
      </c>
      <c r="P125" s="105"/>
      <c r="Q125" s="108"/>
      <c r="R125" s="102"/>
    </row>
    <row r="126" spans="1:18" ht="240" x14ac:dyDescent="0.2">
      <c r="A126" s="109" t="s">
        <v>1503</v>
      </c>
      <c r="B126" s="102">
        <v>1080585274</v>
      </c>
      <c r="C126" s="102">
        <v>1080583926</v>
      </c>
      <c r="D126" s="102" t="s">
        <v>1203</v>
      </c>
      <c r="E126" s="108" t="s">
        <v>1506</v>
      </c>
      <c r="F126" s="104" t="s">
        <v>1507</v>
      </c>
      <c r="G126" s="105">
        <v>41805</v>
      </c>
      <c r="H126" s="105">
        <v>41960</v>
      </c>
      <c r="I126" s="155">
        <f t="shared" ca="1" si="3"/>
        <v>12</v>
      </c>
      <c r="J126" s="105">
        <v>41837</v>
      </c>
      <c r="K126" s="105">
        <v>41863</v>
      </c>
      <c r="L126" s="105" t="s">
        <v>89</v>
      </c>
      <c r="M126" s="105" t="s">
        <v>89</v>
      </c>
      <c r="N126" s="105" t="s">
        <v>1630</v>
      </c>
      <c r="O126" s="105" t="s">
        <v>1563</v>
      </c>
      <c r="P126" s="105"/>
      <c r="Q126" s="108"/>
      <c r="R126" s="102"/>
    </row>
    <row r="127" spans="1:18" ht="75" x14ac:dyDescent="0.2">
      <c r="A127" s="109" t="s">
        <v>1509</v>
      </c>
      <c r="B127" s="102" t="s">
        <v>1769</v>
      </c>
      <c r="C127" s="102">
        <v>1080585055</v>
      </c>
      <c r="D127" s="102" t="s">
        <v>265</v>
      </c>
      <c r="E127" s="108" t="s">
        <v>1538</v>
      </c>
      <c r="F127" s="104" t="s">
        <v>215</v>
      </c>
      <c r="G127" s="105">
        <v>41851</v>
      </c>
      <c r="H127" s="105">
        <v>41967</v>
      </c>
      <c r="I127" s="155">
        <f t="shared" ca="1" si="3"/>
        <v>17</v>
      </c>
      <c r="J127" s="105" t="s">
        <v>89</v>
      </c>
      <c r="K127" s="105">
        <v>41878</v>
      </c>
      <c r="L127" s="105" t="s">
        <v>89</v>
      </c>
      <c r="M127" s="105" t="s">
        <v>89</v>
      </c>
      <c r="N127" s="105">
        <v>41877</v>
      </c>
      <c r="O127" s="105" t="s">
        <v>1771</v>
      </c>
      <c r="P127" s="105"/>
      <c r="Q127" s="108"/>
      <c r="R127" s="102"/>
    </row>
    <row r="128" spans="1:18" ht="135" x14ac:dyDescent="0.2">
      <c r="A128" s="109" t="s">
        <v>1510</v>
      </c>
      <c r="B128" s="102" t="s">
        <v>1660</v>
      </c>
      <c r="C128" s="102" t="s">
        <v>1539</v>
      </c>
      <c r="D128" s="102" t="s">
        <v>1203</v>
      </c>
      <c r="E128" s="108" t="s">
        <v>1540</v>
      </c>
      <c r="F128" s="104" t="s">
        <v>152</v>
      </c>
      <c r="G128" s="105">
        <v>41841</v>
      </c>
      <c r="H128" s="105">
        <v>41943</v>
      </c>
      <c r="I128" s="155">
        <f t="shared" ca="1" si="3"/>
        <v>1</v>
      </c>
      <c r="J128" s="105" t="s">
        <v>89</v>
      </c>
      <c r="K128" s="105">
        <v>41897</v>
      </c>
      <c r="L128" s="105" t="s">
        <v>1564</v>
      </c>
      <c r="M128" s="105" t="s">
        <v>89</v>
      </c>
      <c r="N128" s="105" t="s">
        <v>1565</v>
      </c>
      <c r="O128" s="105" t="s">
        <v>1566</v>
      </c>
      <c r="P128" s="105"/>
      <c r="Q128" s="108"/>
      <c r="R128" s="102"/>
    </row>
    <row r="129" spans="1:18" ht="75" x14ac:dyDescent="0.2">
      <c r="A129" s="110" t="s">
        <v>1512</v>
      </c>
      <c r="B129" s="112" t="s">
        <v>1716</v>
      </c>
      <c r="C129" s="112">
        <v>1080584798</v>
      </c>
      <c r="D129" s="112" t="s">
        <v>1203</v>
      </c>
      <c r="E129" s="118" t="s">
        <v>1543</v>
      </c>
      <c r="F129" s="114" t="s">
        <v>1544</v>
      </c>
      <c r="G129" s="115">
        <v>41848</v>
      </c>
      <c r="H129" s="115">
        <v>41890</v>
      </c>
      <c r="I129" s="160">
        <f t="shared" ca="1" si="3"/>
        <v>-40</v>
      </c>
      <c r="J129" s="115" t="s">
        <v>89</v>
      </c>
      <c r="K129" s="115" t="s">
        <v>89</v>
      </c>
      <c r="L129" s="115" t="s">
        <v>89</v>
      </c>
      <c r="M129" s="115" t="s">
        <v>89</v>
      </c>
      <c r="N129" s="115">
        <v>41926</v>
      </c>
      <c r="O129" s="115" t="s">
        <v>89</v>
      </c>
      <c r="P129" s="115" t="s">
        <v>128</v>
      </c>
      <c r="Q129" s="118" t="s">
        <v>1747</v>
      </c>
      <c r="R129" s="112"/>
    </row>
    <row r="130" spans="1:18" ht="90" x14ac:dyDescent="0.2">
      <c r="A130" s="109" t="s">
        <v>1513</v>
      </c>
      <c r="B130" s="102" t="s">
        <v>1700</v>
      </c>
      <c r="C130" s="102">
        <v>1080584478</v>
      </c>
      <c r="D130" s="102" t="s">
        <v>265</v>
      </c>
      <c r="E130" s="108" t="s">
        <v>1545</v>
      </c>
      <c r="F130" s="104" t="s">
        <v>135</v>
      </c>
      <c r="G130" s="105">
        <v>41849</v>
      </c>
      <c r="H130" s="105">
        <v>41946</v>
      </c>
      <c r="I130" s="155">
        <f t="shared" ca="1" si="3"/>
        <v>2</v>
      </c>
      <c r="J130" s="105">
        <v>41820</v>
      </c>
      <c r="K130" s="105">
        <v>41879</v>
      </c>
      <c r="L130" s="105" t="s">
        <v>1567</v>
      </c>
      <c r="M130" s="105" t="s">
        <v>89</v>
      </c>
      <c r="N130" s="105" t="s">
        <v>1741</v>
      </c>
      <c r="O130" s="105" t="s">
        <v>1067</v>
      </c>
      <c r="P130" s="105"/>
      <c r="Q130" s="108"/>
      <c r="R130" s="102"/>
    </row>
    <row r="131" spans="1:18" ht="180" x14ac:dyDescent="0.2">
      <c r="A131" s="109" t="s">
        <v>1514</v>
      </c>
      <c r="B131" s="102" t="s">
        <v>1679</v>
      </c>
      <c r="C131" s="102">
        <v>1080584624</v>
      </c>
      <c r="D131" s="102" t="s">
        <v>1645</v>
      </c>
      <c r="E131" s="108" t="s">
        <v>1546</v>
      </c>
      <c r="F131" s="104" t="s">
        <v>244</v>
      </c>
      <c r="G131" s="105">
        <v>41861</v>
      </c>
      <c r="H131" s="105">
        <v>41936</v>
      </c>
      <c r="I131" s="155">
        <f t="shared" ref="I131:I162" ca="1" si="4">IF(H131&lt;&gt;0,NETWORKDAYS(TODAY(),H131),"")</f>
        <v>-6</v>
      </c>
      <c r="J131" s="105">
        <v>41912</v>
      </c>
      <c r="K131" s="105" t="s">
        <v>1568</v>
      </c>
      <c r="L131" s="105" t="s">
        <v>1569</v>
      </c>
      <c r="M131" s="105" t="s">
        <v>89</v>
      </c>
      <c r="N131" s="105" t="s">
        <v>1570</v>
      </c>
      <c r="O131" s="105" t="s">
        <v>1571</v>
      </c>
      <c r="P131" s="105"/>
      <c r="Q131" s="108"/>
      <c r="R131" s="102"/>
    </row>
    <row r="132" spans="1:18" ht="60" x14ac:dyDescent="0.2">
      <c r="A132" s="109" t="s">
        <v>1515</v>
      </c>
      <c r="B132" s="102" t="s">
        <v>1701</v>
      </c>
      <c r="C132" s="102">
        <v>1080584667</v>
      </c>
      <c r="D132" s="102" t="s">
        <v>201</v>
      </c>
      <c r="E132" s="108" t="s">
        <v>1547</v>
      </c>
      <c r="F132" s="104" t="s">
        <v>294</v>
      </c>
      <c r="G132" s="105">
        <v>41849</v>
      </c>
      <c r="H132" s="105">
        <v>41946</v>
      </c>
      <c r="I132" s="155">
        <f t="shared" ca="1" si="4"/>
        <v>2</v>
      </c>
      <c r="J132" s="105" t="s">
        <v>89</v>
      </c>
      <c r="K132" s="105" t="s">
        <v>89</v>
      </c>
      <c r="L132" s="105" t="s">
        <v>1707</v>
      </c>
      <c r="M132" s="105" t="s">
        <v>89</v>
      </c>
      <c r="N132" s="105">
        <v>41926</v>
      </c>
      <c r="O132" s="105" t="s">
        <v>89</v>
      </c>
      <c r="P132" s="105"/>
      <c r="Q132" s="108"/>
      <c r="R132" s="102"/>
    </row>
    <row r="133" spans="1:18" ht="255" x14ac:dyDescent="0.2">
      <c r="A133" s="109" t="s">
        <v>1516</v>
      </c>
      <c r="B133" s="102" t="s">
        <v>1652</v>
      </c>
      <c r="C133" s="102">
        <v>1080584184</v>
      </c>
      <c r="D133" s="102" t="s">
        <v>1644</v>
      </c>
      <c r="E133" s="108" t="s">
        <v>1548</v>
      </c>
      <c r="F133" s="104" t="s">
        <v>184</v>
      </c>
      <c r="G133" s="105">
        <v>41856</v>
      </c>
      <c r="H133" s="105">
        <v>41943</v>
      </c>
      <c r="I133" s="155">
        <f t="shared" ca="1" si="4"/>
        <v>1</v>
      </c>
      <c r="J133" s="105">
        <v>41771</v>
      </c>
      <c r="K133" s="105">
        <v>41908</v>
      </c>
      <c r="L133" s="105" t="s">
        <v>89</v>
      </c>
      <c r="M133" s="105" t="s">
        <v>89</v>
      </c>
      <c r="N133" s="105" t="s">
        <v>1572</v>
      </c>
      <c r="O133" s="105" t="s">
        <v>1573</v>
      </c>
      <c r="P133" s="105"/>
      <c r="Q133" s="108"/>
      <c r="R133" s="102"/>
    </row>
    <row r="134" spans="1:18" ht="45" x14ac:dyDescent="0.2">
      <c r="A134" s="109" t="s">
        <v>1517</v>
      </c>
      <c r="B134" s="102" t="s">
        <v>1702</v>
      </c>
      <c r="C134" s="102">
        <v>1080584184</v>
      </c>
      <c r="D134" s="102" t="s">
        <v>1233</v>
      </c>
      <c r="E134" s="108" t="s">
        <v>1549</v>
      </c>
      <c r="F134" s="104" t="s">
        <v>111</v>
      </c>
      <c r="G134" s="105">
        <v>41856</v>
      </c>
      <c r="H134" s="105">
        <v>41946</v>
      </c>
      <c r="I134" s="155">
        <f t="shared" ca="1" si="4"/>
        <v>2</v>
      </c>
      <c r="J134" s="105" t="s">
        <v>89</v>
      </c>
      <c r="K134" s="105" t="s">
        <v>89</v>
      </c>
      <c r="L134" s="105" t="s">
        <v>1708</v>
      </c>
      <c r="M134" s="105" t="s">
        <v>89</v>
      </c>
      <c r="N134" s="105" t="s">
        <v>1709</v>
      </c>
      <c r="O134" s="105" t="s">
        <v>89</v>
      </c>
      <c r="P134" s="105"/>
      <c r="Q134" s="108"/>
      <c r="R134" s="102"/>
    </row>
    <row r="135" spans="1:18" ht="75" x14ac:dyDescent="0.2">
      <c r="A135" s="119" t="s">
        <v>1519</v>
      </c>
      <c r="B135" s="16" t="s">
        <v>1703</v>
      </c>
      <c r="C135" s="16">
        <v>1080584801</v>
      </c>
      <c r="D135" s="16" t="s">
        <v>134</v>
      </c>
      <c r="E135" s="96" t="s">
        <v>1551</v>
      </c>
      <c r="F135" s="120" t="s">
        <v>184</v>
      </c>
      <c r="G135" s="19">
        <v>41857</v>
      </c>
      <c r="H135" s="19">
        <v>41939</v>
      </c>
      <c r="I135" s="24">
        <f t="shared" ca="1" si="4"/>
        <v>-5</v>
      </c>
      <c r="J135" s="19" t="s">
        <v>89</v>
      </c>
      <c r="K135" s="19" t="s">
        <v>89</v>
      </c>
      <c r="L135" s="19" t="s">
        <v>1710</v>
      </c>
      <c r="M135" s="19" t="s">
        <v>89</v>
      </c>
      <c r="N135" s="19" t="s">
        <v>1711</v>
      </c>
      <c r="O135" s="19" t="s">
        <v>89</v>
      </c>
      <c r="P135" s="19"/>
      <c r="Q135" s="96"/>
      <c r="R135" s="16"/>
    </row>
  </sheetData>
  <autoFilter ref="A2:R129"/>
  <sortState ref="A3:R135">
    <sortCondition ref="B1"/>
  </sortState>
  <customSheetViews>
    <customSheetView guid="{0C65D4BC-7217-49B8-BB53-61D69B68C705}" scale="55" showPageBreaks="1" showRuler="0">
      <pane ySplit="1" topLeftCell="A14" activePane="bottomLeft" state="frozen"/>
      <selection pane="bottomLeft" activeCell="C23" sqref="C23"/>
      <pageMargins left="0.75" right="0.75" top="1" bottom="1" header="0.5" footer="0.5"/>
      <pageSetup orientation="portrait" verticalDpi="300" r:id="rId1"/>
      <headerFooter alignWithMargins="0"/>
    </customSheetView>
    <customSheetView guid="{D41D7902-74E5-450A-83D5-80696A20C8A0}" scale="70" showPageBreaks="1" showRuler="0">
      <pane ySplit="1" topLeftCell="A11" activePane="bottomLeft" state="frozen"/>
      <selection pane="bottomLeft" activeCell="M13" sqref="M13"/>
      <pageMargins left="0.75" right="0.75" top="1" bottom="1" header="0.5" footer="0.5"/>
      <pageSetup orientation="portrait" r:id="rId2"/>
      <headerFooter alignWithMargins="0">
        <oddHeader>Page &amp;P</oddHeader>
      </headerFooter>
    </customSheetView>
    <customSheetView guid="{F84EBB95-3121-4EC1-95B9-4072E892D9A0}" scale="78" showPageBreaks="1" hiddenColumns="1" showRuler="0">
      <pane ySplit="1" topLeftCell="A38" activePane="bottomLeft" state="frozen"/>
      <selection pane="bottomLeft" activeCell="N41" sqref="N41"/>
      <pageMargins left="0.75" right="0.75" top="1" bottom="1" header="0.5" footer="0.5"/>
      <pageSetup orientation="portrait" verticalDpi="0" r:id="rId3"/>
      <headerFooter alignWithMargins="0"/>
    </customSheetView>
    <customSheetView guid="{925B3880-04C7-4A42-8F6F-70C42D07E498}" scale="78" showPageBreaks="1" hiddenColumns="1" showRuler="0">
      <pane ySplit="1" topLeftCell="A22" activePane="bottomLeft" state="frozen"/>
      <selection pane="bottomLeft" activeCell="A12" sqref="A12"/>
      <pageMargins left="0.75" right="0.75" top="1" bottom="1" header="0.5" footer="0.5"/>
      <pageSetup orientation="portrait" verticalDpi="300" r:id="rId4"/>
      <headerFooter alignWithMargins="0"/>
    </customSheetView>
    <customSheetView guid="{FE2E4A04-C0BA-4878-8D17-6D6397170BFE}" scale="55" showRuler="0">
      <pane ySplit="1" topLeftCell="A2" activePane="bottomLeft" state="frozen"/>
      <selection pane="bottomLeft"/>
      <pageMargins left="0.75" right="0.75" top="1" bottom="1" header="0.5" footer="0.5"/>
      <pageSetup orientation="portrait" verticalDpi="300" r:id="rId5"/>
      <headerFooter alignWithMargins="0"/>
    </customSheetView>
    <customSheetView guid="{3D82101D-81D8-4890-9527-E21BD8A182F8}" scale="55" showRuler="0">
      <pane ySplit="1" topLeftCell="A14" activePane="bottomLeft" state="frozen"/>
      <selection pane="bottomLeft" activeCell="P15" sqref="P15"/>
      <pageMargins left="0.75" right="0.75" top="1" bottom="1" header="0.5" footer="0.5"/>
      <pageSetup orientation="portrait" verticalDpi="300" r:id="rId6"/>
      <headerFooter alignWithMargins="0"/>
    </customSheetView>
    <customSheetView guid="{5C4CE04F-0B50-463A-9EAA-D39A8C73801D}" scale="78" showPageBreaks="1" fitToPage="1" showAutoFilter="1" hiddenColumns="1" showRuler="0" topLeftCell="B1">
      <pane ySplit="1" topLeftCell="A44" activePane="bottomLeft" state="frozen"/>
      <selection pane="bottomLeft" activeCell="R34" sqref="R34"/>
      <pageMargins left="0.75" right="0.75" top="0.31" bottom="0.39" header="0.18" footer="0.18"/>
      <pageSetup scale="53" fitToHeight="7" orientation="landscape" verticalDpi="0" r:id="rId7"/>
      <headerFooter alignWithMargins="0">
        <oddFooter>&amp;L&amp;A</oddFooter>
      </headerFooter>
      <autoFilter ref="B1:R1"/>
    </customSheetView>
  </customSheetViews>
  <mergeCells count="1">
    <mergeCell ref="C1:E1"/>
  </mergeCells>
  <phoneticPr fontId="0" type="noConversion"/>
  <conditionalFormatting sqref="I3:I4 I22:I78">
    <cfRule type="expression" dxfId="539" priority="314">
      <formula>$I3&lt;0</formula>
    </cfRule>
  </conditionalFormatting>
  <conditionalFormatting sqref="I5">
    <cfRule type="expression" dxfId="538" priority="312">
      <formula>$I5&lt;0</formula>
    </cfRule>
  </conditionalFormatting>
  <conditionalFormatting sqref="I6">
    <cfRule type="expression" dxfId="537" priority="310">
      <formula>$I6&lt;0</formula>
    </cfRule>
  </conditionalFormatting>
  <conditionalFormatting sqref="I7">
    <cfRule type="expression" dxfId="536" priority="304">
      <formula>$I7&lt;0</formula>
    </cfRule>
  </conditionalFormatting>
  <conditionalFormatting sqref="I8">
    <cfRule type="expression" dxfId="535" priority="298">
      <formula>$I8&lt;0</formula>
    </cfRule>
  </conditionalFormatting>
  <conditionalFormatting sqref="I9">
    <cfRule type="expression" dxfId="534" priority="290">
      <formula>$I9&lt;0</formula>
    </cfRule>
  </conditionalFormatting>
  <conditionalFormatting sqref="I10">
    <cfRule type="expression" dxfId="533" priority="288">
      <formula>$I10&lt;0</formula>
    </cfRule>
  </conditionalFormatting>
  <conditionalFormatting sqref="I11">
    <cfRule type="expression" dxfId="532" priority="284">
      <formula>$I11&lt;0</formula>
    </cfRule>
  </conditionalFormatting>
  <conditionalFormatting sqref="I12">
    <cfRule type="expression" dxfId="531" priority="281">
      <formula>$I12&lt;0</formula>
    </cfRule>
  </conditionalFormatting>
  <conditionalFormatting sqref="I13">
    <cfRule type="expression" dxfId="530" priority="270">
      <formula>$I13&lt;0</formula>
    </cfRule>
  </conditionalFormatting>
  <conditionalFormatting sqref="I14">
    <cfRule type="expression" dxfId="529" priority="268">
      <formula>$I14&lt;0</formula>
    </cfRule>
  </conditionalFormatting>
  <conditionalFormatting sqref="I15">
    <cfRule type="expression" dxfId="528" priority="266">
      <formula>$I15&lt;0</formula>
    </cfRule>
  </conditionalFormatting>
  <conditionalFormatting sqref="I16">
    <cfRule type="expression" dxfId="527" priority="265">
      <formula>$I16&lt;0</formula>
    </cfRule>
  </conditionalFormatting>
  <conditionalFormatting sqref="I17">
    <cfRule type="expression" dxfId="526" priority="264">
      <formula>$I17&lt;0</formula>
    </cfRule>
  </conditionalFormatting>
  <conditionalFormatting sqref="I18">
    <cfRule type="expression" dxfId="525" priority="259">
      <formula>$I18&lt;0</formula>
    </cfRule>
  </conditionalFormatting>
  <conditionalFormatting sqref="I19">
    <cfRule type="expression" dxfId="524" priority="249">
      <formula>$I19&lt;0</formula>
    </cfRule>
  </conditionalFormatting>
  <conditionalFormatting sqref="I20">
    <cfRule type="expression" dxfId="523" priority="248">
      <formula>$I20&lt;0</formula>
    </cfRule>
  </conditionalFormatting>
  <conditionalFormatting sqref="I21">
    <cfRule type="expression" dxfId="522" priority="242">
      <formula>$I21&lt;0</formula>
    </cfRule>
  </conditionalFormatting>
  <conditionalFormatting sqref="C1:E1">
    <cfRule type="cellIs" dxfId="521" priority="206" stopIfTrue="1" operator="equal">
      <formula>"Please copy and paste default implementation plan path here"</formula>
    </cfRule>
  </conditionalFormatting>
  <conditionalFormatting sqref="I79">
    <cfRule type="expression" dxfId="520" priority="90">
      <formula>$I79&lt;0</formula>
    </cfRule>
  </conditionalFormatting>
  <conditionalFormatting sqref="I80">
    <cfRule type="expression" dxfId="519" priority="89">
      <formula>$I80&lt;0</formula>
    </cfRule>
  </conditionalFormatting>
  <conditionalFormatting sqref="I81">
    <cfRule type="expression" dxfId="518" priority="88">
      <formula>$I81&lt;0</formula>
    </cfRule>
  </conditionalFormatting>
  <conditionalFormatting sqref="I82">
    <cfRule type="expression" dxfId="517" priority="87">
      <formula>$I82&lt;0</formula>
    </cfRule>
  </conditionalFormatting>
  <conditionalFormatting sqref="I83">
    <cfRule type="expression" dxfId="516" priority="85">
      <formula>$I83&lt;0</formula>
    </cfRule>
  </conditionalFormatting>
  <conditionalFormatting sqref="I84">
    <cfRule type="expression" dxfId="515" priority="84">
      <formula>$I84&lt;0</formula>
    </cfRule>
  </conditionalFormatting>
  <conditionalFormatting sqref="I85">
    <cfRule type="expression" dxfId="514" priority="83">
      <formula>$I85&lt;0</formula>
    </cfRule>
  </conditionalFormatting>
  <conditionalFormatting sqref="I86">
    <cfRule type="expression" dxfId="513" priority="81">
      <formula>$I86&lt;0</formula>
    </cfRule>
  </conditionalFormatting>
  <conditionalFormatting sqref="I87">
    <cfRule type="expression" dxfId="512" priority="77">
      <formula>$I87&lt;0</formula>
    </cfRule>
  </conditionalFormatting>
  <conditionalFormatting sqref="I88">
    <cfRule type="expression" dxfId="511" priority="75">
      <formula>$I88&lt;0</formula>
    </cfRule>
  </conditionalFormatting>
  <conditionalFormatting sqref="I89">
    <cfRule type="expression" dxfId="510" priority="72">
      <formula>$I89&lt;0</formula>
    </cfRule>
  </conditionalFormatting>
  <conditionalFormatting sqref="I90">
    <cfRule type="expression" dxfId="509" priority="71">
      <formula>$I90&lt;0</formula>
    </cfRule>
  </conditionalFormatting>
  <conditionalFormatting sqref="I91">
    <cfRule type="expression" dxfId="508" priority="70">
      <formula>$I91&lt;0</formula>
    </cfRule>
  </conditionalFormatting>
  <conditionalFormatting sqref="I92">
    <cfRule type="expression" dxfId="507" priority="68">
      <formula>$I92&lt;0</formula>
    </cfRule>
  </conditionalFormatting>
  <conditionalFormatting sqref="I93">
    <cfRule type="expression" dxfId="506" priority="67">
      <formula>$I93&lt;0</formula>
    </cfRule>
  </conditionalFormatting>
  <conditionalFormatting sqref="I94">
    <cfRule type="expression" dxfId="505" priority="63">
      <formula>$I94&lt;0</formula>
    </cfRule>
  </conditionalFormatting>
  <conditionalFormatting sqref="I95">
    <cfRule type="expression" dxfId="504" priority="62">
      <formula>$I95&lt;0</formula>
    </cfRule>
  </conditionalFormatting>
  <conditionalFormatting sqref="I96">
    <cfRule type="expression" dxfId="503" priority="61">
      <formula>$I96&lt;0</formula>
    </cfRule>
  </conditionalFormatting>
  <conditionalFormatting sqref="I97">
    <cfRule type="expression" dxfId="502" priority="60">
      <formula>$I97&lt;0</formula>
    </cfRule>
  </conditionalFormatting>
  <conditionalFormatting sqref="I98">
    <cfRule type="expression" dxfId="501" priority="58">
      <formula>$I98&lt;0</formula>
    </cfRule>
  </conditionalFormatting>
  <conditionalFormatting sqref="I99">
    <cfRule type="expression" dxfId="500" priority="57">
      <formula>$I99&lt;0</formula>
    </cfRule>
  </conditionalFormatting>
  <conditionalFormatting sqref="I100">
    <cfRule type="expression" dxfId="499" priority="56">
      <formula>$I100&lt;0</formula>
    </cfRule>
  </conditionalFormatting>
  <conditionalFormatting sqref="I101">
    <cfRule type="expression" dxfId="498" priority="55">
      <formula>$I101&lt;0</formula>
    </cfRule>
  </conditionalFormatting>
  <conditionalFormatting sqref="I102">
    <cfRule type="expression" dxfId="497" priority="54">
      <formula>$I102&lt;0</formula>
    </cfRule>
  </conditionalFormatting>
  <conditionalFormatting sqref="I103">
    <cfRule type="expression" dxfId="496" priority="53">
      <formula>$I103&lt;0</formula>
    </cfRule>
  </conditionalFormatting>
  <conditionalFormatting sqref="I104">
    <cfRule type="expression" dxfId="495" priority="52">
      <formula>$I104&lt;0</formula>
    </cfRule>
  </conditionalFormatting>
  <conditionalFormatting sqref="I105">
    <cfRule type="expression" dxfId="494" priority="50">
      <formula>$I105&lt;0</formula>
    </cfRule>
  </conditionalFormatting>
  <conditionalFormatting sqref="I106">
    <cfRule type="expression" dxfId="493" priority="47">
      <formula>$I106&lt;0</formula>
    </cfRule>
  </conditionalFormatting>
  <conditionalFormatting sqref="I107">
    <cfRule type="expression" dxfId="492" priority="46">
      <formula>$I107&lt;0</formula>
    </cfRule>
  </conditionalFormatting>
  <conditionalFormatting sqref="I108">
    <cfRule type="expression" dxfId="491" priority="45">
      <formula>$I108&lt;0</formula>
    </cfRule>
  </conditionalFormatting>
  <conditionalFormatting sqref="I109">
    <cfRule type="expression" dxfId="490" priority="44">
      <formula>$I109&lt;0</formula>
    </cfRule>
  </conditionalFormatting>
  <conditionalFormatting sqref="I110">
    <cfRule type="expression" dxfId="489" priority="31">
      <formula>$I110&lt;0</formula>
    </cfRule>
  </conditionalFormatting>
  <conditionalFormatting sqref="I111">
    <cfRule type="expression" dxfId="488" priority="30">
      <formula>$I111&lt;0</formula>
    </cfRule>
  </conditionalFormatting>
  <conditionalFormatting sqref="I112">
    <cfRule type="expression" dxfId="487" priority="28">
      <formula>$I112&lt;0</formula>
    </cfRule>
  </conditionalFormatting>
  <conditionalFormatting sqref="I113">
    <cfRule type="expression" dxfId="486" priority="27">
      <formula>$I113&lt;0</formula>
    </cfRule>
  </conditionalFormatting>
  <conditionalFormatting sqref="I114">
    <cfRule type="expression" dxfId="485" priority="26">
      <formula>$I114&lt;0</formula>
    </cfRule>
  </conditionalFormatting>
  <conditionalFormatting sqref="I115">
    <cfRule type="expression" dxfId="484" priority="25">
      <formula>$I115&lt;0</formula>
    </cfRule>
  </conditionalFormatting>
  <conditionalFormatting sqref="I116">
    <cfRule type="expression" dxfId="483" priority="23">
      <formula>$I116&lt;0</formula>
    </cfRule>
  </conditionalFormatting>
  <conditionalFormatting sqref="I117">
    <cfRule type="expression" dxfId="482" priority="22">
      <formula>$I117&lt;0</formula>
    </cfRule>
  </conditionalFormatting>
  <conditionalFormatting sqref="I118">
    <cfRule type="expression" dxfId="481" priority="21">
      <formula>$I118&lt;0</formula>
    </cfRule>
  </conditionalFormatting>
  <conditionalFormatting sqref="I119">
    <cfRule type="expression" dxfId="480" priority="20">
      <formula>$I119&lt;0</formula>
    </cfRule>
  </conditionalFormatting>
  <conditionalFormatting sqref="I120">
    <cfRule type="expression" dxfId="479" priority="19">
      <formula>$I120&lt;0</formula>
    </cfRule>
  </conditionalFormatting>
  <conditionalFormatting sqref="I121">
    <cfRule type="expression" dxfId="478" priority="18">
      <formula>$I121&lt;0</formula>
    </cfRule>
  </conditionalFormatting>
  <conditionalFormatting sqref="I122">
    <cfRule type="expression" dxfId="477" priority="16">
      <formula>$I122&lt;0</formula>
    </cfRule>
  </conditionalFormatting>
  <conditionalFormatting sqref="I123">
    <cfRule type="expression" dxfId="476" priority="14">
      <formula>$I123&lt;0</formula>
    </cfRule>
  </conditionalFormatting>
  <conditionalFormatting sqref="I124">
    <cfRule type="expression" dxfId="475" priority="13">
      <formula>$I124&lt;0</formula>
    </cfRule>
  </conditionalFormatting>
  <conditionalFormatting sqref="I125">
    <cfRule type="expression" dxfId="474" priority="12">
      <formula>$I125&lt;0</formula>
    </cfRule>
  </conditionalFormatting>
  <conditionalFormatting sqref="I126">
    <cfRule type="expression" dxfId="473" priority="10">
      <formula>$I126&lt;0</formula>
    </cfRule>
  </conditionalFormatting>
  <conditionalFormatting sqref="I127">
    <cfRule type="expression" dxfId="472" priority="9">
      <formula>$I127&lt;0</formula>
    </cfRule>
  </conditionalFormatting>
  <conditionalFormatting sqref="I128">
    <cfRule type="expression" dxfId="471" priority="8">
      <formula>$I128&lt;0</formula>
    </cfRule>
  </conditionalFormatting>
  <conditionalFormatting sqref="I129">
    <cfRule type="expression" dxfId="470" priority="7">
      <formula>$I129&lt;0</formula>
    </cfRule>
  </conditionalFormatting>
  <conditionalFormatting sqref="I130">
    <cfRule type="expression" dxfId="469" priority="6">
      <formula>$I130&lt;0</formula>
    </cfRule>
  </conditionalFormatting>
  <conditionalFormatting sqref="I131">
    <cfRule type="expression" dxfId="468" priority="5">
      <formula>$I131&lt;0</formula>
    </cfRule>
  </conditionalFormatting>
  <conditionalFormatting sqref="I132">
    <cfRule type="expression" dxfId="467" priority="4">
      <formula>$I132&lt;0</formula>
    </cfRule>
  </conditionalFormatting>
  <conditionalFormatting sqref="I133">
    <cfRule type="expression" dxfId="466" priority="3">
      <formula>$I133&lt;0</formula>
    </cfRule>
  </conditionalFormatting>
  <conditionalFormatting sqref="I134">
    <cfRule type="expression" dxfId="465" priority="2">
      <formula>$I134&lt;0</formula>
    </cfRule>
  </conditionalFormatting>
  <conditionalFormatting sqref="I135">
    <cfRule type="expression" dxfId="464" priority="1">
      <formula>$I135&lt;0</formula>
    </cfRule>
  </conditionalFormatting>
  <hyperlinks>
    <hyperlink ref="A28" r:id="rId8"/>
    <hyperlink ref="A29" r:id="rId9"/>
    <hyperlink ref="A30" r:id="rId10"/>
    <hyperlink ref="A31" r:id="rId11"/>
    <hyperlink ref="A32" r:id="rId12"/>
    <hyperlink ref="A33" r:id="rId13"/>
    <hyperlink ref="A34" r:id="rId14"/>
    <hyperlink ref="A35" r:id="rId15"/>
    <hyperlink ref="A36" r:id="rId16"/>
    <hyperlink ref="A37" r:id="rId17"/>
    <hyperlink ref="A38" r:id="rId18"/>
    <hyperlink ref="A39" r:id="rId19"/>
    <hyperlink ref="A40" r:id="rId20"/>
    <hyperlink ref="A41" r:id="rId21"/>
    <hyperlink ref="A42" r:id="rId22"/>
    <hyperlink ref="A45" r:id="rId23"/>
    <hyperlink ref="A46" r:id="rId24"/>
    <hyperlink ref="A43" r:id="rId25"/>
    <hyperlink ref="A44" r:id="rId26"/>
    <hyperlink ref="A47" r:id="rId27"/>
    <hyperlink ref="A48" r:id="rId28"/>
    <hyperlink ref="A49" r:id="rId29"/>
    <hyperlink ref="A50" r:id="rId30"/>
    <hyperlink ref="A51" r:id="rId31"/>
    <hyperlink ref="A52" r:id="rId32"/>
    <hyperlink ref="A53" r:id="rId33"/>
    <hyperlink ref="A54" r:id="rId34"/>
    <hyperlink ref="A55" r:id="rId35"/>
    <hyperlink ref="A56" r:id="rId36"/>
    <hyperlink ref="A57" r:id="rId37"/>
    <hyperlink ref="A58" r:id="rId38"/>
    <hyperlink ref="A59" r:id="rId39"/>
    <hyperlink ref="A60" r:id="rId40"/>
    <hyperlink ref="A61" r:id="rId41"/>
    <hyperlink ref="A63" r:id="rId42"/>
    <hyperlink ref="A62" r:id="rId43"/>
    <hyperlink ref="A64" r:id="rId44"/>
    <hyperlink ref="A65" r:id="rId45"/>
    <hyperlink ref="A66" r:id="rId46"/>
    <hyperlink ref="A67" r:id="rId47"/>
    <hyperlink ref="A68" r:id="rId48"/>
    <hyperlink ref="A69" r:id="rId49"/>
    <hyperlink ref="A70" r:id="rId50"/>
    <hyperlink ref="A71" r:id="rId51"/>
    <hyperlink ref="A72" r:id="rId52"/>
    <hyperlink ref="A73" r:id="rId53"/>
    <hyperlink ref="A74" r:id="rId54"/>
    <hyperlink ref="A75" r:id="rId55"/>
    <hyperlink ref="A76" r:id="rId56"/>
    <hyperlink ref="A77" r:id="rId57"/>
    <hyperlink ref="A78" r:id="rId58"/>
    <hyperlink ref="A79" r:id="rId59"/>
    <hyperlink ref="A80" r:id="rId60"/>
    <hyperlink ref="A81" r:id="rId61"/>
    <hyperlink ref="A82" r:id="rId62"/>
    <hyperlink ref="A83" r:id="rId63"/>
    <hyperlink ref="A84" r:id="rId64"/>
    <hyperlink ref="A85" r:id="rId65"/>
    <hyperlink ref="A86" r:id="rId66"/>
    <hyperlink ref="A87" r:id="rId67"/>
    <hyperlink ref="A88" r:id="rId68"/>
    <hyperlink ref="A89" r:id="rId69"/>
    <hyperlink ref="A90" r:id="rId70"/>
    <hyperlink ref="A91" r:id="rId71"/>
    <hyperlink ref="A92" r:id="rId72"/>
    <hyperlink ref="A93" r:id="rId73"/>
    <hyperlink ref="A94" r:id="rId74"/>
    <hyperlink ref="A95" r:id="rId75"/>
    <hyperlink ref="A96" r:id="rId76"/>
    <hyperlink ref="A97" r:id="rId77"/>
    <hyperlink ref="A98" r:id="rId78"/>
    <hyperlink ref="A99" r:id="rId79"/>
    <hyperlink ref="A100" r:id="rId80"/>
    <hyperlink ref="A101" r:id="rId81"/>
    <hyperlink ref="A102" r:id="rId82"/>
    <hyperlink ref="A103" r:id="rId83"/>
    <hyperlink ref="A104" r:id="rId84"/>
    <hyperlink ref="A105" r:id="rId85"/>
    <hyperlink ref="A106" r:id="rId86"/>
    <hyperlink ref="A108" r:id="rId87"/>
    <hyperlink ref="A107" r:id="rId88"/>
    <hyperlink ref="A109" r:id="rId89"/>
    <hyperlink ref="A110" r:id="rId90"/>
    <hyperlink ref="A111" r:id="rId91"/>
    <hyperlink ref="A112" r:id="rId92"/>
    <hyperlink ref="A113" r:id="rId93"/>
    <hyperlink ref="A114" r:id="rId94"/>
    <hyperlink ref="A115" r:id="rId95"/>
    <hyperlink ref="A116" r:id="rId96"/>
    <hyperlink ref="A117" r:id="rId97"/>
    <hyperlink ref="A118" r:id="rId98"/>
    <hyperlink ref="A119" r:id="rId99"/>
    <hyperlink ref="A120" r:id="rId100"/>
    <hyperlink ref="A121" r:id="rId101"/>
    <hyperlink ref="A122" r:id="rId102"/>
    <hyperlink ref="A123" r:id="rId103"/>
    <hyperlink ref="A124" r:id="rId104"/>
    <hyperlink ref="A125" r:id="rId105"/>
    <hyperlink ref="A126" r:id="rId106"/>
    <hyperlink ref="A4" r:id="rId107"/>
    <hyperlink ref="A5" r:id="rId108"/>
    <hyperlink ref="A7" r:id="rId109"/>
    <hyperlink ref="A8" r:id="rId110"/>
    <hyperlink ref="A9" r:id="rId111"/>
    <hyperlink ref="A127" r:id="rId112"/>
    <hyperlink ref="A128" r:id="rId113"/>
    <hyperlink ref="A3" r:id="rId114"/>
    <hyperlink ref="A129" r:id="rId115"/>
    <hyperlink ref="A130" r:id="rId116"/>
    <hyperlink ref="A131" r:id="rId117"/>
    <hyperlink ref="A132" r:id="rId118"/>
    <hyperlink ref="A133" r:id="rId119"/>
    <hyperlink ref="A134" r:id="rId120"/>
    <hyperlink ref="A135" r:id="rId121"/>
    <hyperlink ref="A6" r:id="rId122"/>
    <hyperlink ref="A10" r:id="rId123"/>
    <hyperlink ref="A11" r:id="rId124"/>
    <hyperlink ref="A12" r:id="rId125"/>
    <hyperlink ref="A13" r:id="rId126"/>
    <hyperlink ref="A14" r:id="rId127"/>
    <hyperlink ref="A15" r:id="rId128"/>
    <hyperlink ref="A16" r:id="rId129"/>
    <hyperlink ref="A17" r:id="rId130"/>
    <hyperlink ref="A18" r:id="rId131"/>
    <hyperlink ref="A19" r:id="rId132"/>
    <hyperlink ref="A20" r:id="rId133"/>
    <hyperlink ref="A21" r:id="rId134"/>
    <hyperlink ref="A22" r:id="rId135"/>
    <hyperlink ref="A23" r:id="rId136"/>
    <hyperlink ref="A24" r:id="rId137"/>
    <hyperlink ref="A25" r:id="rId138"/>
    <hyperlink ref="A26" r:id="rId139"/>
    <hyperlink ref="A27" r:id="rId140"/>
  </hyperlinks>
  <printOptions gridLines="1"/>
  <pageMargins left="0.26" right="0.17" top="0.53" bottom="0.41" header="0.01" footer="0.35"/>
  <pageSetup scale="46" fitToHeight="8" orientation="landscape" r:id="rId141"/>
  <headerFooter alignWithMargins="0">
    <oddFooter>&amp;L&amp;A&amp;C&amp;P of &amp;N&amp;Rlast printed on &amp;D</oddFooter>
  </headerFooter>
  <legacyDrawing r:id="rId14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10"/>
    <pageSetUpPr fitToPage="1"/>
  </sheetPr>
  <dimension ref="A1:R29"/>
  <sheetViews>
    <sheetView zoomScale="75" zoomScaleNormal="50" zoomScaleSheetLayoutView="75" workbookViewId="0">
      <selection activeCell="A29" sqref="A29:XFD29"/>
    </sheetView>
  </sheetViews>
  <sheetFormatPr defaultRowHeight="15" x14ac:dyDescent="0.2"/>
  <cols>
    <col min="1" max="1" width="18" style="1" bestFit="1" customWidth="1"/>
    <col min="2" max="2" width="21.5703125" style="2" customWidth="1"/>
    <col min="3" max="3" width="15.7109375" style="1" customWidth="1"/>
    <col min="4" max="4" width="13.28515625" style="1" customWidth="1"/>
    <col min="5" max="5" width="60.85546875" style="1" customWidth="1"/>
    <col min="6" max="6" width="6.42578125" style="4" customWidth="1"/>
    <col min="7" max="7" width="13.42578125" style="21" customWidth="1"/>
    <col min="8" max="8" width="14.42578125" style="21" customWidth="1"/>
    <col min="9" max="9" width="13.7109375" style="26" customWidth="1"/>
    <col min="10" max="10" width="15" style="97" customWidth="1"/>
    <col min="11" max="11" width="14.5703125" style="97" customWidth="1"/>
    <col min="12" max="12" width="12.140625" style="94" customWidth="1"/>
    <col min="13" max="13" width="16.42578125" style="97" customWidth="1"/>
    <col min="14" max="14" width="14.7109375" style="97" customWidth="1"/>
    <col min="15" max="15" width="14.42578125" style="97" customWidth="1"/>
    <col min="16" max="16" width="11.5703125" style="97" customWidth="1"/>
    <col min="17" max="17" width="44.5703125" style="1" customWidth="1"/>
    <col min="18" max="18" width="6.140625" style="1" bestFit="1" customWidth="1"/>
    <col min="19" max="16384" width="9.140625" style="1"/>
  </cols>
  <sheetData>
    <row r="1" spans="1:18" ht="45" x14ac:dyDescent="0.2">
      <c r="A1" s="16" t="s">
        <v>20</v>
      </c>
      <c r="B1" s="16" t="s">
        <v>47</v>
      </c>
      <c r="C1" s="16" t="s">
        <v>46</v>
      </c>
      <c r="D1" s="96" t="s">
        <v>48</v>
      </c>
      <c r="E1" s="16" t="s">
        <v>9</v>
      </c>
      <c r="F1" s="19" t="s">
        <v>18</v>
      </c>
      <c r="G1" s="19" t="s">
        <v>11</v>
      </c>
      <c r="H1" s="19" t="s">
        <v>10</v>
      </c>
      <c r="I1" s="24" t="s">
        <v>8</v>
      </c>
      <c r="J1" s="22" t="s">
        <v>12</v>
      </c>
      <c r="K1" s="22" t="s">
        <v>15</v>
      </c>
      <c r="L1" s="22" t="s">
        <v>17</v>
      </c>
      <c r="M1" s="19" t="s">
        <v>16</v>
      </c>
      <c r="N1" s="22" t="s">
        <v>13</v>
      </c>
      <c r="O1" s="22" t="s">
        <v>14</v>
      </c>
      <c r="P1" s="19" t="s">
        <v>49</v>
      </c>
      <c r="Q1" s="16" t="s">
        <v>50</v>
      </c>
      <c r="R1" s="25"/>
    </row>
    <row r="2" spans="1:18" s="20" customFormat="1" ht="409.5" x14ac:dyDescent="0.2">
      <c r="A2" s="109" t="s">
        <v>114</v>
      </c>
      <c r="B2" s="102">
        <v>1080580655</v>
      </c>
      <c r="C2" s="102">
        <v>1080579578</v>
      </c>
      <c r="D2" s="102" t="s">
        <v>102</v>
      </c>
      <c r="E2" s="156" t="s">
        <v>1525</v>
      </c>
      <c r="F2" s="104" t="s">
        <v>103</v>
      </c>
      <c r="G2" s="105">
        <v>41051</v>
      </c>
      <c r="H2" s="163">
        <v>41470</v>
      </c>
      <c r="I2" s="155">
        <f t="shared" ref="I2:I29" ca="1" si="0">IF(H2&lt;&gt;0,NETWORKDAYS(TODAY(),H2),"")</f>
        <v>-340</v>
      </c>
      <c r="J2" s="105" t="s">
        <v>89</v>
      </c>
      <c r="K2" s="105" t="s">
        <v>89</v>
      </c>
      <c r="L2" s="105" t="s">
        <v>89</v>
      </c>
      <c r="M2" s="105" t="s">
        <v>89</v>
      </c>
      <c r="N2" s="105" t="s">
        <v>104</v>
      </c>
      <c r="O2" s="105" t="s">
        <v>89</v>
      </c>
      <c r="P2" s="105"/>
      <c r="Q2" s="108"/>
      <c r="R2" s="156" t="s">
        <v>1599</v>
      </c>
    </row>
    <row r="3" spans="1:18" s="20" customFormat="1" ht="135" x14ac:dyDescent="0.2">
      <c r="A3" s="109" t="s">
        <v>137</v>
      </c>
      <c r="B3" s="102">
        <v>1080581135</v>
      </c>
      <c r="C3" s="102" t="s">
        <v>138</v>
      </c>
      <c r="D3" s="102" t="s">
        <v>139</v>
      </c>
      <c r="E3" s="156" t="s">
        <v>1526</v>
      </c>
      <c r="F3" s="104" t="s">
        <v>140</v>
      </c>
      <c r="G3" s="105">
        <v>41136</v>
      </c>
      <c r="H3" s="106">
        <v>41453</v>
      </c>
      <c r="I3" s="155">
        <f t="shared" ca="1" si="0"/>
        <v>-351</v>
      </c>
      <c r="J3" s="105">
        <v>41352</v>
      </c>
      <c r="K3" s="105">
        <v>41480</v>
      </c>
      <c r="L3" s="105" t="s">
        <v>89</v>
      </c>
      <c r="M3" s="105" t="s">
        <v>89</v>
      </c>
      <c r="N3" s="105" t="s">
        <v>104</v>
      </c>
      <c r="O3" s="105">
        <v>41722</v>
      </c>
      <c r="P3" s="105"/>
      <c r="Q3" s="108"/>
      <c r="R3" s="156" t="s">
        <v>1598</v>
      </c>
    </row>
    <row r="4" spans="1:18" s="20" customFormat="1" ht="409.5" x14ac:dyDescent="0.2">
      <c r="A4" s="164" t="s">
        <v>144</v>
      </c>
      <c r="B4" s="102">
        <v>1080581250</v>
      </c>
      <c r="C4" s="102">
        <v>1080580962</v>
      </c>
      <c r="D4" s="102" t="s">
        <v>122</v>
      </c>
      <c r="E4" s="156" t="s">
        <v>961</v>
      </c>
      <c r="F4" s="104" t="s">
        <v>111</v>
      </c>
      <c r="G4" s="105">
        <v>41149</v>
      </c>
      <c r="H4" s="163">
        <v>41400</v>
      </c>
      <c r="I4" s="155">
        <f t="shared" ca="1" si="0"/>
        <v>-390</v>
      </c>
      <c r="J4" s="105" t="s">
        <v>89</v>
      </c>
      <c r="K4" s="105">
        <v>41449</v>
      </c>
      <c r="L4" s="105" t="s">
        <v>89</v>
      </c>
      <c r="M4" s="105" t="s">
        <v>89</v>
      </c>
      <c r="N4" s="105" t="s">
        <v>113</v>
      </c>
      <c r="O4" s="105">
        <v>41764</v>
      </c>
      <c r="P4" s="105"/>
      <c r="Q4" s="108"/>
      <c r="R4" s="102"/>
    </row>
    <row r="5" spans="1:18" s="20" customFormat="1" ht="240" x14ac:dyDescent="0.2">
      <c r="A5" s="164" t="s">
        <v>175</v>
      </c>
      <c r="B5" s="102">
        <v>1080581932</v>
      </c>
      <c r="C5" s="102">
        <v>1080581851</v>
      </c>
      <c r="D5" s="102" t="s">
        <v>176</v>
      </c>
      <c r="E5" s="156" t="s">
        <v>1527</v>
      </c>
      <c r="F5" s="104" t="s">
        <v>146</v>
      </c>
      <c r="G5" s="105">
        <v>41254</v>
      </c>
      <c r="H5" s="163">
        <v>41400</v>
      </c>
      <c r="I5" s="155">
        <f t="shared" ca="1" si="0"/>
        <v>-390</v>
      </c>
      <c r="J5" s="105" t="s">
        <v>89</v>
      </c>
      <c r="K5" s="105" t="s">
        <v>89</v>
      </c>
      <c r="L5" s="105" t="s">
        <v>89</v>
      </c>
      <c r="M5" s="105" t="s">
        <v>89</v>
      </c>
      <c r="N5" s="105" t="s">
        <v>104</v>
      </c>
      <c r="O5" s="105" t="s">
        <v>89</v>
      </c>
      <c r="P5" s="105"/>
      <c r="Q5" s="108"/>
      <c r="R5" s="156" t="s">
        <v>1596</v>
      </c>
    </row>
    <row r="6" spans="1:18" s="20" customFormat="1" ht="240" x14ac:dyDescent="0.2">
      <c r="A6" s="164" t="s">
        <v>189</v>
      </c>
      <c r="B6" s="102">
        <v>1080582558</v>
      </c>
      <c r="C6" s="102">
        <v>1080580947</v>
      </c>
      <c r="D6" s="102" t="s">
        <v>134</v>
      </c>
      <c r="E6" s="156" t="s">
        <v>1528</v>
      </c>
      <c r="F6" s="104" t="s">
        <v>190</v>
      </c>
      <c r="G6" s="105">
        <v>41367</v>
      </c>
      <c r="H6" s="163">
        <v>41390</v>
      </c>
      <c r="I6" s="155">
        <f t="shared" ca="1" si="0"/>
        <v>-396</v>
      </c>
      <c r="J6" s="105" t="s">
        <v>89</v>
      </c>
      <c r="K6" s="105">
        <v>41199</v>
      </c>
      <c r="L6" s="105" t="s">
        <v>89</v>
      </c>
      <c r="M6" s="105" t="s">
        <v>89</v>
      </c>
      <c r="N6" s="105" t="s">
        <v>104</v>
      </c>
      <c r="O6" s="105">
        <v>41399</v>
      </c>
      <c r="P6" s="105"/>
      <c r="Q6" s="108"/>
      <c r="R6" s="156" t="s">
        <v>1595</v>
      </c>
    </row>
    <row r="7" spans="1:18" s="20" customFormat="1" ht="195" x14ac:dyDescent="0.2">
      <c r="A7" s="164" t="s">
        <v>192</v>
      </c>
      <c r="B7" s="102">
        <v>1080582573</v>
      </c>
      <c r="C7" s="102">
        <v>1080581081</v>
      </c>
      <c r="D7" s="102" t="s">
        <v>134</v>
      </c>
      <c r="E7" s="156" t="s">
        <v>1529</v>
      </c>
      <c r="F7" s="104" t="s">
        <v>184</v>
      </c>
      <c r="G7" s="105">
        <v>41372</v>
      </c>
      <c r="H7" s="163">
        <v>41502</v>
      </c>
      <c r="I7" s="155">
        <f t="shared" ca="1" si="0"/>
        <v>-316</v>
      </c>
      <c r="J7" s="105" t="s">
        <v>89</v>
      </c>
      <c r="K7" s="105" t="s">
        <v>89</v>
      </c>
      <c r="L7" s="105">
        <v>41383</v>
      </c>
      <c r="M7" s="105" t="s">
        <v>89</v>
      </c>
      <c r="N7" s="105" t="s">
        <v>104</v>
      </c>
      <c r="O7" s="105" t="s">
        <v>89</v>
      </c>
      <c r="P7" s="105"/>
      <c r="Q7" s="108"/>
      <c r="R7" s="156" t="s">
        <v>1600</v>
      </c>
    </row>
    <row r="8" spans="1:18" s="20" customFormat="1" ht="409.5" x14ac:dyDescent="0.2">
      <c r="A8" s="164" t="s">
        <v>193</v>
      </c>
      <c r="B8" s="102">
        <v>1080582594</v>
      </c>
      <c r="C8" s="102">
        <v>1080581219</v>
      </c>
      <c r="D8" s="102" t="s">
        <v>134</v>
      </c>
      <c r="E8" s="156" t="s">
        <v>1530</v>
      </c>
      <c r="F8" s="104" t="s">
        <v>174</v>
      </c>
      <c r="G8" s="105">
        <v>41374</v>
      </c>
      <c r="H8" s="163">
        <v>41411</v>
      </c>
      <c r="I8" s="155">
        <f t="shared" ca="1" si="0"/>
        <v>-381</v>
      </c>
      <c r="J8" s="105" t="s">
        <v>89</v>
      </c>
      <c r="K8" s="105" t="s">
        <v>89</v>
      </c>
      <c r="L8" s="105" t="s">
        <v>89</v>
      </c>
      <c r="M8" s="105" t="s">
        <v>89</v>
      </c>
      <c r="N8" s="105" t="s">
        <v>104</v>
      </c>
      <c r="O8" s="105" t="s">
        <v>89</v>
      </c>
      <c r="P8" s="105"/>
      <c r="Q8" s="108"/>
      <c r="R8" s="156" t="s">
        <v>1597</v>
      </c>
    </row>
    <row r="9" spans="1:18" s="20" customFormat="1" ht="180" x14ac:dyDescent="0.2">
      <c r="A9" s="165" t="s">
        <v>222</v>
      </c>
      <c r="B9" s="112">
        <v>1080582832</v>
      </c>
      <c r="C9" s="112">
        <v>1080580877</v>
      </c>
      <c r="D9" s="112" t="s">
        <v>221</v>
      </c>
      <c r="E9" s="161" t="s">
        <v>1445</v>
      </c>
      <c r="F9" s="114" t="s">
        <v>135</v>
      </c>
      <c r="G9" s="115">
        <v>41409</v>
      </c>
      <c r="H9" s="162">
        <v>41523</v>
      </c>
      <c r="I9" s="160">
        <f t="shared" ca="1" si="0"/>
        <v>-301</v>
      </c>
      <c r="J9" s="115" t="s">
        <v>89</v>
      </c>
      <c r="K9" s="115" t="s">
        <v>89</v>
      </c>
      <c r="L9" s="115" t="s">
        <v>89</v>
      </c>
      <c r="M9" s="115" t="s">
        <v>89</v>
      </c>
      <c r="N9" s="115">
        <v>41774</v>
      </c>
      <c r="O9" s="115" t="s">
        <v>89</v>
      </c>
      <c r="P9" s="115" t="s">
        <v>128</v>
      </c>
      <c r="Q9" s="118" t="s">
        <v>1444</v>
      </c>
      <c r="R9" s="112"/>
    </row>
    <row r="10" spans="1:18" s="20" customFormat="1" ht="300" x14ac:dyDescent="0.2">
      <c r="A10" s="165" t="s">
        <v>226</v>
      </c>
      <c r="B10" s="112">
        <v>1080582861</v>
      </c>
      <c r="C10" s="112">
        <v>1080581370</v>
      </c>
      <c r="D10" s="112" t="s">
        <v>227</v>
      </c>
      <c r="E10" s="161" t="s">
        <v>1263</v>
      </c>
      <c r="F10" s="114" t="s">
        <v>135</v>
      </c>
      <c r="G10" s="115">
        <v>41414</v>
      </c>
      <c r="H10" s="162">
        <v>41523</v>
      </c>
      <c r="I10" s="160">
        <f t="shared" ca="1" si="0"/>
        <v>-301</v>
      </c>
      <c r="J10" s="115" t="s">
        <v>89</v>
      </c>
      <c r="K10" s="115" t="s">
        <v>89</v>
      </c>
      <c r="L10" s="115" t="s">
        <v>89</v>
      </c>
      <c r="M10" s="115" t="s">
        <v>89</v>
      </c>
      <c r="N10" s="115">
        <v>41667</v>
      </c>
      <c r="O10" s="115" t="s">
        <v>89</v>
      </c>
      <c r="P10" s="115" t="s">
        <v>128</v>
      </c>
      <c r="Q10" s="118" t="s">
        <v>1262</v>
      </c>
      <c r="R10" s="112"/>
    </row>
    <row r="11" spans="1:18" s="20" customFormat="1" ht="285" x14ac:dyDescent="0.2">
      <c r="A11" s="165" t="s">
        <v>262</v>
      </c>
      <c r="B11" s="112">
        <v>1080583004</v>
      </c>
      <c r="C11" s="112">
        <v>1080581755</v>
      </c>
      <c r="D11" s="112" t="s">
        <v>122</v>
      </c>
      <c r="E11" s="161" t="s">
        <v>1145</v>
      </c>
      <c r="F11" s="114" t="s">
        <v>111</v>
      </c>
      <c r="G11" s="115">
        <v>41440</v>
      </c>
      <c r="H11" s="162">
        <v>41486</v>
      </c>
      <c r="I11" s="160">
        <f t="shared" ca="1" si="0"/>
        <v>-328</v>
      </c>
      <c r="J11" s="115">
        <v>41456</v>
      </c>
      <c r="K11" s="115">
        <v>41473</v>
      </c>
      <c r="L11" s="115" t="s">
        <v>89</v>
      </c>
      <c r="M11" s="115" t="s">
        <v>89</v>
      </c>
      <c r="N11" s="115">
        <v>41668</v>
      </c>
      <c r="O11" s="115" t="s">
        <v>89</v>
      </c>
      <c r="P11" s="115" t="s">
        <v>128</v>
      </c>
      <c r="Q11" s="118" t="s">
        <v>1318</v>
      </c>
      <c r="R11" s="112"/>
    </row>
    <row r="12" spans="1:18" s="20" customFormat="1" ht="75" x14ac:dyDescent="0.2">
      <c r="A12" s="164" t="s">
        <v>263</v>
      </c>
      <c r="B12" s="102">
        <v>1080583009</v>
      </c>
      <c r="C12" s="102">
        <v>1080582087</v>
      </c>
      <c r="D12" s="102" t="s">
        <v>102</v>
      </c>
      <c r="E12" s="156" t="s">
        <v>1532</v>
      </c>
      <c r="F12" s="104" t="s">
        <v>103</v>
      </c>
      <c r="G12" s="105">
        <v>41442</v>
      </c>
      <c r="H12" s="163">
        <v>41530</v>
      </c>
      <c r="I12" s="155">
        <f t="shared" ca="1" si="0"/>
        <v>-296</v>
      </c>
      <c r="J12" s="105" t="s">
        <v>89</v>
      </c>
      <c r="K12" s="105" t="s">
        <v>89</v>
      </c>
      <c r="L12" s="105" t="s">
        <v>89</v>
      </c>
      <c r="M12" s="105" t="s">
        <v>225</v>
      </c>
      <c r="N12" s="105" t="s">
        <v>104</v>
      </c>
      <c r="O12" s="105" t="s">
        <v>89</v>
      </c>
      <c r="P12" s="105"/>
      <c r="Q12" s="108"/>
      <c r="R12" s="102"/>
    </row>
    <row r="13" spans="1:18" s="20" customFormat="1" ht="409.5" x14ac:dyDescent="0.2">
      <c r="A13" s="165" t="s">
        <v>283</v>
      </c>
      <c r="B13" s="112">
        <v>1080583104</v>
      </c>
      <c r="C13" s="112">
        <v>1080582248</v>
      </c>
      <c r="D13" s="112" t="s">
        <v>139</v>
      </c>
      <c r="E13" s="161" t="s">
        <v>953</v>
      </c>
      <c r="F13" s="114" t="s">
        <v>140</v>
      </c>
      <c r="G13" s="115">
        <v>41462</v>
      </c>
      <c r="H13" s="162">
        <v>41523</v>
      </c>
      <c r="I13" s="160">
        <f t="shared" ca="1" si="0"/>
        <v>-301</v>
      </c>
      <c r="J13" s="115">
        <v>41515</v>
      </c>
      <c r="K13" s="115" t="s">
        <v>89</v>
      </c>
      <c r="L13" s="115" t="s">
        <v>89</v>
      </c>
      <c r="M13" s="115" t="s">
        <v>89</v>
      </c>
      <c r="N13" s="115">
        <v>41926</v>
      </c>
      <c r="O13" s="115" t="s">
        <v>89</v>
      </c>
      <c r="P13" s="115" t="s">
        <v>128</v>
      </c>
      <c r="Q13" s="118" t="s">
        <v>1718</v>
      </c>
      <c r="R13" s="161" t="s">
        <v>1603</v>
      </c>
    </row>
    <row r="14" spans="1:18" s="20" customFormat="1" ht="135" x14ac:dyDescent="0.2">
      <c r="A14" s="165" t="s">
        <v>284</v>
      </c>
      <c r="B14" s="112">
        <v>1080583135</v>
      </c>
      <c r="C14" s="112">
        <v>1080581833</v>
      </c>
      <c r="D14" s="112" t="s">
        <v>677</v>
      </c>
      <c r="E14" s="161" t="s">
        <v>1019</v>
      </c>
      <c r="F14" s="114" t="s">
        <v>111</v>
      </c>
      <c r="G14" s="115">
        <v>41464</v>
      </c>
      <c r="H14" s="162">
        <v>41516</v>
      </c>
      <c r="I14" s="160">
        <f t="shared" ca="1" si="0"/>
        <v>-306</v>
      </c>
      <c r="J14" s="115" t="s">
        <v>89</v>
      </c>
      <c r="K14" s="115">
        <v>41514</v>
      </c>
      <c r="L14" s="115" t="s">
        <v>89</v>
      </c>
      <c r="M14" s="115" t="s">
        <v>89</v>
      </c>
      <c r="N14" s="115">
        <v>41689</v>
      </c>
      <c r="O14" s="115">
        <v>41502</v>
      </c>
      <c r="P14" s="115" t="s">
        <v>128</v>
      </c>
      <c r="Q14" s="118" t="s">
        <v>1408</v>
      </c>
      <c r="R14" s="112"/>
    </row>
    <row r="15" spans="1:18" s="20" customFormat="1" ht="210" x14ac:dyDescent="0.2">
      <c r="A15" s="165" t="s">
        <v>296</v>
      </c>
      <c r="B15" s="112">
        <v>1080583176</v>
      </c>
      <c r="C15" s="112">
        <v>1080582467</v>
      </c>
      <c r="D15" s="112" t="s">
        <v>297</v>
      </c>
      <c r="E15" s="161" t="s">
        <v>1533</v>
      </c>
      <c r="F15" s="114" t="s">
        <v>298</v>
      </c>
      <c r="G15" s="115">
        <v>41471</v>
      </c>
      <c r="H15" s="162">
        <v>41516</v>
      </c>
      <c r="I15" s="160">
        <f t="shared" ca="1" si="0"/>
        <v>-306</v>
      </c>
      <c r="J15" s="115" t="s">
        <v>89</v>
      </c>
      <c r="K15" s="115" t="s">
        <v>89</v>
      </c>
      <c r="L15" s="115" t="s">
        <v>89</v>
      </c>
      <c r="M15" s="115" t="s">
        <v>89</v>
      </c>
      <c r="N15" s="115">
        <v>41890</v>
      </c>
      <c r="O15" s="115" t="s">
        <v>89</v>
      </c>
      <c r="P15" s="115" t="s">
        <v>128</v>
      </c>
      <c r="Q15" s="118" t="s">
        <v>1611</v>
      </c>
      <c r="R15" s="161" t="s">
        <v>1601</v>
      </c>
    </row>
    <row r="16" spans="1:18" s="20" customFormat="1" ht="225" x14ac:dyDescent="0.2">
      <c r="A16" s="164" t="s">
        <v>312</v>
      </c>
      <c r="B16" s="102">
        <v>1080583243</v>
      </c>
      <c r="C16" s="102">
        <v>1080582556</v>
      </c>
      <c r="D16" s="102" t="s">
        <v>313</v>
      </c>
      <c r="E16" s="156" t="s">
        <v>1022</v>
      </c>
      <c r="F16" s="104" t="s">
        <v>111</v>
      </c>
      <c r="G16" s="105">
        <v>41482</v>
      </c>
      <c r="H16" s="163">
        <v>41530</v>
      </c>
      <c r="I16" s="155">
        <f t="shared" ca="1" si="0"/>
        <v>-296</v>
      </c>
      <c r="J16" s="105" t="s">
        <v>89</v>
      </c>
      <c r="K16" s="105">
        <v>41615</v>
      </c>
      <c r="L16" s="105" t="s">
        <v>89</v>
      </c>
      <c r="M16" s="105" t="s">
        <v>89</v>
      </c>
      <c r="N16" s="105" t="s">
        <v>113</v>
      </c>
      <c r="O16" s="105" t="s">
        <v>89</v>
      </c>
      <c r="P16" s="105"/>
      <c r="Q16" s="108"/>
      <c r="R16" s="102"/>
    </row>
    <row r="17" spans="1:18" s="20" customFormat="1" ht="180" x14ac:dyDescent="0.2">
      <c r="A17" s="164" t="s">
        <v>314</v>
      </c>
      <c r="B17" s="102">
        <v>1080583244</v>
      </c>
      <c r="C17" s="102">
        <v>1080582556</v>
      </c>
      <c r="D17" s="102" t="s">
        <v>311</v>
      </c>
      <c r="E17" s="156" t="s">
        <v>1023</v>
      </c>
      <c r="F17" s="104" t="s">
        <v>315</v>
      </c>
      <c r="G17" s="105">
        <v>41482</v>
      </c>
      <c r="H17" s="163">
        <v>41530</v>
      </c>
      <c r="I17" s="155">
        <f t="shared" ca="1" si="0"/>
        <v>-296</v>
      </c>
      <c r="J17" s="105" t="s">
        <v>89</v>
      </c>
      <c r="K17" s="105">
        <v>41592</v>
      </c>
      <c r="L17" s="105" t="s">
        <v>89</v>
      </c>
      <c r="M17" s="105" t="s">
        <v>89</v>
      </c>
      <c r="N17" s="105" t="s">
        <v>113</v>
      </c>
      <c r="O17" s="105">
        <v>41592</v>
      </c>
      <c r="P17" s="105"/>
      <c r="Q17" s="108"/>
      <c r="R17" s="102"/>
    </row>
    <row r="18" spans="1:18" s="20" customFormat="1" ht="165" x14ac:dyDescent="0.2">
      <c r="A18" s="165" t="s">
        <v>320</v>
      </c>
      <c r="B18" s="112">
        <v>1080583268</v>
      </c>
      <c r="C18" s="112">
        <v>1080582376</v>
      </c>
      <c r="D18" s="112" t="s">
        <v>321</v>
      </c>
      <c r="E18" s="161" t="s">
        <v>981</v>
      </c>
      <c r="F18" s="114" t="s">
        <v>322</v>
      </c>
      <c r="G18" s="115">
        <v>41485</v>
      </c>
      <c r="H18" s="162">
        <v>41537</v>
      </c>
      <c r="I18" s="160">
        <f t="shared" ca="1" si="0"/>
        <v>-291</v>
      </c>
      <c r="J18" s="115" t="s">
        <v>89</v>
      </c>
      <c r="K18" s="115">
        <v>41533</v>
      </c>
      <c r="L18" s="115" t="s">
        <v>89</v>
      </c>
      <c r="M18" s="115" t="s">
        <v>89</v>
      </c>
      <c r="N18" s="115">
        <v>41723</v>
      </c>
      <c r="O18" s="115">
        <v>41492</v>
      </c>
      <c r="P18" s="115" t="s">
        <v>128</v>
      </c>
      <c r="Q18" s="118" t="s">
        <v>1377</v>
      </c>
      <c r="R18" s="112"/>
    </row>
    <row r="19" spans="1:18" s="20" customFormat="1" ht="409.5" x14ac:dyDescent="0.2">
      <c r="A19" s="164" t="s">
        <v>328</v>
      </c>
      <c r="B19" s="102">
        <v>1080583285</v>
      </c>
      <c r="C19" s="102">
        <v>1080582423</v>
      </c>
      <c r="D19" s="102" t="s">
        <v>139</v>
      </c>
      <c r="E19" s="156" t="s">
        <v>926</v>
      </c>
      <c r="F19" s="104" t="s">
        <v>140</v>
      </c>
      <c r="G19" s="105">
        <v>41486</v>
      </c>
      <c r="H19" s="163">
        <v>41523</v>
      </c>
      <c r="I19" s="155">
        <f t="shared" ca="1" si="0"/>
        <v>-301</v>
      </c>
      <c r="J19" s="105">
        <v>41521</v>
      </c>
      <c r="K19" s="105">
        <v>41617</v>
      </c>
      <c r="L19" s="105">
        <v>41729</v>
      </c>
      <c r="M19" s="105" t="s">
        <v>89</v>
      </c>
      <c r="N19" s="105" t="s">
        <v>104</v>
      </c>
      <c r="O19" s="105">
        <v>41671</v>
      </c>
      <c r="P19" s="105"/>
      <c r="Q19" s="108"/>
      <c r="R19" s="102"/>
    </row>
    <row r="20" spans="1:18" s="20" customFormat="1" ht="165" x14ac:dyDescent="0.2">
      <c r="A20" s="164" t="s">
        <v>329</v>
      </c>
      <c r="B20" s="102">
        <v>1080583448</v>
      </c>
      <c r="C20" s="102">
        <v>1080582518</v>
      </c>
      <c r="D20" s="102" t="s">
        <v>134</v>
      </c>
      <c r="E20" s="156" t="s">
        <v>1177</v>
      </c>
      <c r="F20" s="104" t="s">
        <v>325</v>
      </c>
      <c r="G20" s="105">
        <v>41507</v>
      </c>
      <c r="H20" s="163">
        <v>41565</v>
      </c>
      <c r="I20" s="155">
        <f t="shared" ca="1" si="0"/>
        <v>-271</v>
      </c>
      <c r="J20" s="105" t="s">
        <v>89</v>
      </c>
      <c r="K20" s="105" t="s">
        <v>89</v>
      </c>
      <c r="L20" s="105" t="s">
        <v>89</v>
      </c>
      <c r="M20" s="105" t="s">
        <v>89</v>
      </c>
      <c r="N20" s="105" t="s">
        <v>104</v>
      </c>
      <c r="O20" s="105" t="s">
        <v>89</v>
      </c>
      <c r="P20" s="105"/>
      <c r="Q20" s="108"/>
      <c r="R20" s="102"/>
    </row>
    <row r="21" spans="1:18" s="20" customFormat="1" ht="330" x14ac:dyDescent="0.2">
      <c r="A21" s="165" t="s">
        <v>330</v>
      </c>
      <c r="B21" s="112">
        <v>1080583464</v>
      </c>
      <c r="C21" s="112">
        <v>1080582627</v>
      </c>
      <c r="D21" s="112" t="s">
        <v>331</v>
      </c>
      <c r="E21" s="161" t="s">
        <v>935</v>
      </c>
      <c r="F21" s="114" t="s">
        <v>332</v>
      </c>
      <c r="G21" s="115">
        <v>41510</v>
      </c>
      <c r="H21" s="162">
        <v>41551</v>
      </c>
      <c r="I21" s="160">
        <f t="shared" ca="1" si="0"/>
        <v>-281</v>
      </c>
      <c r="J21" s="115">
        <v>41522</v>
      </c>
      <c r="K21" s="115">
        <v>41516</v>
      </c>
      <c r="L21" s="115" t="s">
        <v>89</v>
      </c>
      <c r="M21" s="115" t="s">
        <v>89</v>
      </c>
      <c r="N21" s="115">
        <v>41695</v>
      </c>
      <c r="O21" s="115" t="s">
        <v>89</v>
      </c>
      <c r="P21" s="115" t="s">
        <v>128</v>
      </c>
      <c r="Q21" s="118" t="s">
        <v>1408</v>
      </c>
      <c r="R21" s="112"/>
    </row>
    <row r="22" spans="1:18" s="20" customFormat="1" ht="165" x14ac:dyDescent="0.2">
      <c r="A22" s="164" t="s">
        <v>337</v>
      </c>
      <c r="B22" s="102">
        <v>1080583466</v>
      </c>
      <c r="C22" s="102">
        <v>1080582458</v>
      </c>
      <c r="D22" s="102" t="s">
        <v>338</v>
      </c>
      <c r="E22" s="156" t="s">
        <v>1178</v>
      </c>
      <c r="F22" s="104" t="s">
        <v>339</v>
      </c>
      <c r="G22" s="105">
        <v>41511</v>
      </c>
      <c r="H22" s="163">
        <v>41558</v>
      </c>
      <c r="I22" s="155">
        <f t="shared" ca="1" si="0"/>
        <v>-276</v>
      </c>
      <c r="J22" s="105" t="s">
        <v>89</v>
      </c>
      <c r="K22" s="105" t="s">
        <v>89</v>
      </c>
      <c r="L22" s="105" t="s">
        <v>89</v>
      </c>
      <c r="M22" s="105" t="s">
        <v>89</v>
      </c>
      <c r="N22" s="105" t="s">
        <v>104</v>
      </c>
      <c r="O22" s="105" t="s">
        <v>89</v>
      </c>
      <c r="P22" s="105"/>
      <c r="Q22" s="108"/>
      <c r="R22" s="102"/>
    </row>
    <row r="23" spans="1:18" s="20" customFormat="1" ht="240" x14ac:dyDescent="0.2">
      <c r="A23" s="165" t="s">
        <v>340</v>
      </c>
      <c r="B23" s="112">
        <v>1080583467</v>
      </c>
      <c r="C23" s="112">
        <v>1080582247</v>
      </c>
      <c r="D23" s="112" t="s">
        <v>341</v>
      </c>
      <c r="E23" s="161" t="s">
        <v>1012</v>
      </c>
      <c r="F23" s="114" t="s">
        <v>342</v>
      </c>
      <c r="G23" s="115">
        <v>41511</v>
      </c>
      <c r="H23" s="162">
        <v>41565</v>
      </c>
      <c r="I23" s="160">
        <f t="shared" ca="1" si="0"/>
        <v>-271</v>
      </c>
      <c r="J23" s="115">
        <v>41542</v>
      </c>
      <c r="K23" s="115">
        <v>41677</v>
      </c>
      <c r="L23" s="115" t="s">
        <v>89</v>
      </c>
      <c r="M23" s="115" t="s">
        <v>89</v>
      </c>
      <c r="N23" s="115">
        <v>41774</v>
      </c>
      <c r="O23" s="115" t="s">
        <v>89</v>
      </c>
      <c r="P23" s="115" t="s">
        <v>128</v>
      </c>
      <c r="Q23" s="118" t="s">
        <v>1534</v>
      </c>
      <c r="R23" s="112"/>
    </row>
    <row r="24" spans="1:18" s="20" customFormat="1" ht="240" x14ac:dyDescent="0.2">
      <c r="A24" s="110" t="s">
        <v>922</v>
      </c>
      <c r="B24" s="112">
        <v>1080583518</v>
      </c>
      <c r="C24" s="112">
        <v>1080582696</v>
      </c>
      <c r="D24" s="112" t="s">
        <v>311</v>
      </c>
      <c r="E24" s="161" t="s">
        <v>927</v>
      </c>
      <c r="F24" s="114" t="s">
        <v>244</v>
      </c>
      <c r="G24" s="115">
        <v>41516</v>
      </c>
      <c r="H24" s="115">
        <v>41565</v>
      </c>
      <c r="I24" s="160">
        <f t="shared" ca="1" si="0"/>
        <v>-271</v>
      </c>
      <c r="J24" s="115" t="s">
        <v>89</v>
      </c>
      <c r="K24" s="115" t="s">
        <v>89</v>
      </c>
      <c r="L24" s="115" t="s">
        <v>89</v>
      </c>
      <c r="M24" s="115" t="s">
        <v>89</v>
      </c>
      <c r="N24" s="115">
        <v>41774</v>
      </c>
      <c r="O24" s="115" t="s">
        <v>89</v>
      </c>
      <c r="P24" s="115" t="s">
        <v>128</v>
      </c>
      <c r="Q24" s="118" t="s">
        <v>1484</v>
      </c>
      <c r="R24" s="112"/>
    </row>
    <row r="25" spans="1:18" s="20" customFormat="1" ht="270" x14ac:dyDescent="0.2">
      <c r="A25" s="109" t="s">
        <v>967</v>
      </c>
      <c r="B25" s="102">
        <v>1080583600</v>
      </c>
      <c r="C25" s="102">
        <v>1080582846</v>
      </c>
      <c r="D25" s="102" t="s">
        <v>265</v>
      </c>
      <c r="E25" s="108" t="s">
        <v>969</v>
      </c>
      <c r="F25" s="104" t="s">
        <v>111</v>
      </c>
      <c r="G25" s="105">
        <v>41532</v>
      </c>
      <c r="H25" s="105">
        <v>41614</v>
      </c>
      <c r="I25" s="155">
        <f t="shared" ca="1" si="0"/>
        <v>-236</v>
      </c>
      <c r="J25" s="105">
        <v>41576</v>
      </c>
      <c r="K25" s="105">
        <v>41661</v>
      </c>
      <c r="L25" s="105" t="s">
        <v>89</v>
      </c>
      <c r="M25" s="105" t="s">
        <v>89</v>
      </c>
      <c r="N25" s="105" t="s">
        <v>136</v>
      </c>
      <c r="O25" s="105">
        <v>41726</v>
      </c>
      <c r="P25" s="105"/>
      <c r="Q25" s="108"/>
      <c r="R25" s="102"/>
    </row>
    <row r="26" spans="1:18" s="20" customFormat="1" ht="375" x14ac:dyDescent="0.2">
      <c r="A26" s="110" t="s">
        <v>984</v>
      </c>
      <c r="B26" s="112">
        <v>1080583621</v>
      </c>
      <c r="C26" s="112">
        <v>1080582846</v>
      </c>
      <c r="D26" s="112" t="s">
        <v>1011</v>
      </c>
      <c r="E26" s="118" t="s">
        <v>986</v>
      </c>
      <c r="F26" s="114" t="s">
        <v>111</v>
      </c>
      <c r="G26" s="115">
        <v>41535</v>
      </c>
      <c r="H26" s="115">
        <v>41614</v>
      </c>
      <c r="I26" s="160">
        <f t="shared" ca="1" si="0"/>
        <v>-236</v>
      </c>
      <c r="J26" s="115">
        <v>41576</v>
      </c>
      <c r="K26" s="115">
        <v>41642</v>
      </c>
      <c r="L26" s="115">
        <v>41628</v>
      </c>
      <c r="M26" s="115" t="s">
        <v>89</v>
      </c>
      <c r="N26" s="115">
        <v>41774</v>
      </c>
      <c r="O26" s="115">
        <v>41682</v>
      </c>
      <c r="P26" s="115" t="s">
        <v>128</v>
      </c>
      <c r="Q26" s="118" t="s">
        <v>1492</v>
      </c>
      <c r="R26" s="112"/>
    </row>
    <row r="27" spans="1:18" s="20" customFormat="1" ht="180" x14ac:dyDescent="0.2">
      <c r="A27" s="110" t="s">
        <v>987</v>
      </c>
      <c r="B27" s="112">
        <v>1080583643</v>
      </c>
      <c r="C27" s="112">
        <v>1080582993</v>
      </c>
      <c r="D27" s="112" t="s">
        <v>1010</v>
      </c>
      <c r="E27" s="118" t="s">
        <v>1000</v>
      </c>
      <c r="F27" s="114" t="s">
        <v>111</v>
      </c>
      <c r="G27" s="115">
        <v>41537</v>
      </c>
      <c r="H27" s="115">
        <v>41621</v>
      </c>
      <c r="I27" s="160">
        <f t="shared" ca="1" si="0"/>
        <v>-231</v>
      </c>
      <c r="J27" s="115">
        <v>41540</v>
      </c>
      <c r="K27" s="115">
        <v>41577</v>
      </c>
      <c r="L27" s="115">
        <v>41605</v>
      </c>
      <c r="M27" s="115">
        <v>41667</v>
      </c>
      <c r="N27" s="115">
        <v>41555</v>
      </c>
      <c r="O27" s="115">
        <v>41609</v>
      </c>
      <c r="P27" s="115" t="s">
        <v>128</v>
      </c>
      <c r="Q27" s="118" t="s">
        <v>1497</v>
      </c>
      <c r="R27" s="112"/>
    </row>
    <row r="28" spans="1:18" s="20" customFormat="1" ht="375" x14ac:dyDescent="0.2">
      <c r="A28" s="109" t="s">
        <v>1038</v>
      </c>
      <c r="B28" s="102">
        <v>1080583737</v>
      </c>
      <c r="C28" s="102">
        <v>1080582984</v>
      </c>
      <c r="D28" s="102" t="s">
        <v>1049</v>
      </c>
      <c r="E28" s="108" t="s">
        <v>1043</v>
      </c>
      <c r="F28" s="104" t="s">
        <v>315</v>
      </c>
      <c r="G28" s="105">
        <v>41551</v>
      </c>
      <c r="H28" s="105">
        <v>41621</v>
      </c>
      <c r="I28" s="155">
        <f t="shared" ca="1" si="0"/>
        <v>-231</v>
      </c>
      <c r="J28" s="105">
        <v>41578</v>
      </c>
      <c r="K28" s="105">
        <v>41641</v>
      </c>
      <c r="L28" s="105" t="s">
        <v>89</v>
      </c>
      <c r="M28" s="105" t="s">
        <v>89</v>
      </c>
      <c r="N28" s="105" t="s">
        <v>113</v>
      </c>
      <c r="O28" s="105" t="s">
        <v>90</v>
      </c>
      <c r="P28" s="105"/>
      <c r="Q28" s="108"/>
      <c r="R28" s="102"/>
    </row>
    <row r="29" spans="1:18" s="20" customFormat="1" ht="240" x14ac:dyDescent="0.2">
      <c r="A29" s="109" t="s">
        <v>1069</v>
      </c>
      <c r="B29" s="102">
        <v>1080583822</v>
      </c>
      <c r="C29" s="102">
        <v>1080582747</v>
      </c>
      <c r="D29" s="102" t="s">
        <v>1075</v>
      </c>
      <c r="E29" s="108" t="s">
        <v>1072</v>
      </c>
      <c r="F29" s="104" t="s">
        <v>111</v>
      </c>
      <c r="G29" s="105">
        <v>41567</v>
      </c>
      <c r="H29" s="105">
        <v>41631</v>
      </c>
      <c r="I29" s="155">
        <f t="shared" ca="1" si="0"/>
        <v>-225</v>
      </c>
      <c r="J29" s="105" t="s">
        <v>89</v>
      </c>
      <c r="K29" s="105">
        <v>41620</v>
      </c>
      <c r="L29" s="105" t="s">
        <v>89</v>
      </c>
      <c r="M29" s="105" t="s">
        <v>89</v>
      </c>
      <c r="N29" s="105" t="s">
        <v>113</v>
      </c>
      <c r="O29" s="105" t="s">
        <v>89</v>
      </c>
      <c r="P29" s="105"/>
      <c r="Q29" s="108"/>
      <c r="R29" s="102"/>
    </row>
  </sheetData>
  <conditionalFormatting sqref="I2">
    <cfRule type="expression" dxfId="463" priority="28">
      <formula>$I2&lt;0</formula>
    </cfRule>
  </conditionalFormatting>
  <conditionalFormatting sqref="I3">
    <cfRule type="expression" dxfId="462" priority="27">
      <formula>$I3&lt;0</formula>
    </cfRule>
  </conditionalFormatting>
  <conditionalFormatting sqref="I4">
    <cfRule type="expression" dxfId="461" priority="26">
      <formula>$I4&lt;0</formula>
    </cfRule>
  </conditionalFormatting>
  <conditionalFormatting sqref="I5">
    <cfRule type="expression" dxfId="460" priority="25">
      <formula>$I5&lt;0</formula>
    </cfRule>
  </conditionalFormatting>
  <conditionalFormatting sqref="I6">
    <cfRule type="expression" dxfId="459" priority="24">
      <formula>$I6&lt;0</formula>
    </cfRule>
  </conditionalFormatting>
  <conditionalFormatting sqref="I7">
    <cfRule type="expression" dxfId="458" priority="23">
      <formula>$I7&lt;0</formula>
    </cfRule>
  </conditionalFormatting>
  <conditionalFormatting sqref="I8">
    <cfRule type="expression" dxfId="457" priority="22">
      <formula>$I8&lt;0</formula>
    </cfRule>
  </conditionalFormatting>
  <conditionalFormatting sqref="I9">
    <cfRule type="expression" dxfId="456" priority="21">
      <formula>$I9&lt;0</formula>
    </cfRule>
  </conditionalFormatting>
  <conditionalFormatting sqref="I10">
    <cfRule type="expression" dxfId="455" priority="20">
      <formula>$I10&lt;0</formula>
    </cfRule>
  </conditionalFormatting>
  <conditionalFormatting sqref="I11">
    <cfRule type="expression" dxfId="454" priority="19">
      <formula>$I11&lt;0</formula>
    </cfRule>
  </conditionalFormatting>
  <conditionalFormatting sqref="I12">
    <cfRule type="expression" dxfId="453" priority="18">
      <formula>$I12&lt;0</formula>
    </cfRule>
  </conditionalFormatting>
  <conditionalFormatting sqref="I13">
    <cfRule type="expression" dxfId="452" priority="17">
      <formula>$I13&lt;0</formula>
    </cfRule>
  </conditionalFormatting>
  <conditionalFormatting sqref="I14">
    <cfRule type="expression" dxfId="451" priority="16">
      <formula>$I14&lt;0</formula>
    </cfRule>
  </conditionalFormatting>
  <conditionalFormatting sqref="I15">
    <cfRule type="expression" dxfId="450" priority="15">
      <formula>$I15&lt;0</formula>
    </cfRule>
  </conditionalFormatting>
  <conditionalFormatting sqref="I16">
    <cfRule type="expression" dxfId="449" priority="14">
      <formula>$I16&lt;0</formula>
    </cfRule>
  </conditionalFormatting>
  <conditionalFormatting sqref="I17">
    <cfRule type="expression" dxfId="448" priority="13">
      <formula>$I17&lt;0</formula>
    </cfRule>
  </conditionalFormatting>
  <conditionalFormatting sqref="I18">
    <cfRule type="expression" dxfId="447" priority="12">
      <formula>$I18&lt;0</formula>
    </cfRule>
  </conditionalFormatting>
  <conditionalFormatting sqref="I19">
    <cfRule type="expression" dxfId="446" priority="11">
      <formula>$I19&lt;0</formula>
    </cfRule>
  </conditionalFormatting>
  <conditionalFormatting sqref="I20">
    <cfRule type="expression" dxfId="445" priority="10">
      <formula>$I20&lt;0</formula>
    </cfRule>
  </conditionalFormatting>
  <conditionalFormatting sqref="I21">
    <cfRule type="expression" dxfId="444" priority="9">
      <formula>$I21&lt;0</formula>
    </cfRule>
  </conditionalFormatting>
  <conditionalFormatting sqref="I22">
    <cfRule type="expression" dxfId="443" priority="8">
      <formula>$I22&lt;0</formula>
    </cfRule>
  </conditionalFormatting>
  <conditionalFormatting sqref="I23">
    <cfRule type="expression" dxfId="442" priority="7">
      <formula>$I23&lt;0</formula>
    </cfRule>
  </conditionalFormatting>
  <conditionalFormatting sqref="I24">
    <cfRule type="expression" dxfId="441" priority="6">
      <formula>$I24&lt;0</formula>
    </cfRule>
  </conditionalFormatting>
  <conditionalFormatting sqref="I25">
    <cfRule type="expression" dxfId="440" priority="5">
      <formula>$I25&lt;0</formula>
    </cfRule>
  </conditionalFormatting>
  <conditionalFormatting sqref="I26">
    <cfRule type="expression" dxfId="439" priority="4">
      <formula>$I26&lt;0</formula>
    </cfRule>
  </conditionalFormatting>
  <conditionalFormatting sqref="I27">
    <cfRule type="expression" dxfId="438" priority="3">
      <formula>$I27&lt;0</formula>
    </cfRule>
  </conditionalFormatting>
  <conditionalFormatting sqref="I28">
    <cfRule type="expression" dxfId="437" priority="2">
      <formula>$I28&lt;0</formula>
    </cfRule>
  </conditionalFormatting>
  <conditionalFormatting sqref="I29">
    <cfRule type="expression" dxfId="436" priority="1">
      <formula>$I29&lt;0</formula>
    </cfRule>
  </conditionalFormatting>
  <hyperlinks>
    <hyperlink ref="A2" r:id="rId1"/>
    <hyperlink ref="A3" r:id="rId2"/>
    <hyperlink ref="A4" r:id="rId3"/>
    <hyperlink ref="A5" r:id="rId4"/>
    <hyperlink ref="A6" r:id="rId5"/>
    <hyperlink ref="A7" r:id="rId6"/>
    <hyperlink ref="A8" r:id="rId7"/>
    <hyperlink ref="A9" r:id="rId8"/>
    <hyperlink ref="A10" r:id="rId9"/>
    <hyperlink ref="A11" r:id="rId10"/>
    <hyperlink ref="A12" r:id="rId11"/>
    <hyperlink ref="A13" r:id="rId12"/>
    <hyperlink ref="A14" r:id="rId13"/>
    <hyperlink ref="A15" r:id="rId14"/>
    <hyperlink ref="A16" r:id="rId15"/>
    <hyperlink ref="A17" r:id="rId16"/>
    <hyperlink ref="A18" r:id="rId17"/>
    <hyperlink ref="A19" r:id="rId18"/>
    <hyperlink ref="A20" r:id="rId19"/>
    <hyperlink ref="A21" r:id="rId20"/>
    <hyperlink ref="A22" r:id="rId21"/>
    <hyperlink ref="A23" r:id="rId22"/>
    <hyperlink ref="A24" r:id="rId23"/>
    <hyperlink ref="A25" r:id="rId24"/>
    <hyperlink ref="A26" r:id="rId25"/>
    <hyperlink ref="A27" r:id="rId26"/>
    <hyperlink ref="A28" r:id="rId27"/>
    <hyperlink ref="A29" r:id="rId28"/>
  </hyperlinks>
  <pageMargins left="0.73" right="0.02" top="0.03" bottom="0.41" header="0.01" footer="0.35"/>
  <pageSetup scale="40" orientation="landscape" r:id="rId29"/>
  <headerFooter alignWithMargins="0">
    <oddFooter>&amp;L&amp;A&amp;C&amp;P of &amp;N&amp;Rlast printed on &amp;D</oddFooter>
  </headerFooter>
  <legacyDrawing r:id="rId3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10"/>
    <pageSetUpPr fitToPage="1"/>
  </sheetPr>
  <dimension ref="A1:R61"/>
  <sheetViews>
    <sheetView zoomScale="75" zoomScaleNormal="50" zoomScaleSheetLayoutView="75" workbookViewId="0">
      <selection activeCell="A61" sqref="A61:XFD61"/>
    </sheetView>
  </sheetViews>
  <sheetFormatPr defaultRowHeight="15" x14ac:dyDescent="0.2"/>
  <cols>
    <col min="1" max="1" width="18" style="1" bestFit="1" customWidth="1"/>
    <col min="2" max="2" width="21.5703125" style="2" customWidth="1"/>
    <col min="3" max="3" width="15.7109375" style="1" customWidth="1"/>
    <col min="4" max="4" width="13.28515625" style="1" customWidth="1"/>
    <col min="5" max="5" width="60.85546875" style="1" customWidth="1"/>
    <col min="6" max="6" width="6.42578125" style="4" customWidth="1"/>
    <col min="7" max="7" width="13.42578125" style="21" customWidth="1"/>
    <col min="8" max="8" width="14.42578125" style="21" customWidth="1"/>
    <col min="9" max="9" width="13.7109375" style="26" customWidth="1"/>
    <col min="10" max="10" width="15" style="97" customWidth="1"/>
    <col min="11" max="11" width="14.5703125" style="97" customWidth="1"/>
    <col min="12" max="12" width="12.140625" style="94" customWidth="1"/>
    <col min="13" max="13" width="16.42578125" style="97" customWidth="1"/>
    <col min="14" max="14" width="14.7109375" style="97" customWidth="1"/>
    <col min="15" max="15" width="14.42578125" style="97" customWidth="1"/>
    <col min="16" max="16" width="11.5703125" style="97" customWidth="1"/>
    <col min="17" max="17" width="44.5703125" style="1" customWidth="1"/>
    <col min="18" max="18" width="6.140625" style="1" bestFit="1" customWidth="1"/>
    <col min="19" max="16384" width="9.140625" style="1"/>
  </cols>
  <sheetData>
    <row r="1" spans="1:18" ht="45" x14ac:dyDescent="0.2">
      <c r="A1" s="16" t="s">
        <v>20</v>
      </c>
      <c r="B1" s="16" t="s">
        <v>47</v>
      </c>
      <c r="C1" s="16" t="s">
        <v>46</v>
      </c>
      <c r="D1" s="96" t="s">
        <v>48</v>
      </c>
      <c r="E1" s="16" t="s">
        <v>9</v>
      </c>
      <c r="F1" s="19" t="s">
        <v>18</v>
      </c>
      <c r="G1" s="19" t="s">
        <v>11</v>
      </c>
      <c r="H1" s="19" t="s">
        <v>10</v>
      </c>
      <c r="I1" s="24" t="s">
        <v>8</v>
      </c>
      <c r="J1" s="22" t="s">
        <v>12</v>
      </c>
      <c r="K1" s="22" t="s">
        <v>15</v>
      </c>
      <c r="L1" s="22" t="s">
        <v>17</v>
      </c>
      <c r="M1" s="19" t="s">
        <v>16</v>
      </c>
      <c r="N1" s="22" t="s">
        <v>13</v>
      </c>
      <c r="O1" s="22" t="s">
        <v>14</v>
      </c>
      <c r="P1" s="19" t="s">
        <v>49</v>
      </c>
      <c r="Q1" s="16" t="s">
        <v>50</v>
      </c>
      <c r="R1" s="25"/>
    </row>
    <row r="2" spans="1:18" s="20" customFormat="1" ht="90" x14ac:dyDescent="0.2">
      <c r="A2" s="110" t="s">
        <v>1606</v>
      </c>
      <c r="B2" s="112">
        <v>400203</v>
      </c>
      <c r="C2" s="112">
        <v>1080585029</v>
      </c>
      <c r="D2" s="112" t="s">
        <v>1233</v>
      </c>
      <c r="E2" s="118" t="s">
        <v>1617</v>
      </c>
      <c r="F2" s="114" t="s">
        <v>639</v>
      </c>
      <c r="G2" s="115">
        <v>41874</v>
      </c>
      <c r="H2" s="115">
        <v>41932</v>
      </c>
      <c r="I2" s="160">
        <f t="shared" ref="I2:I16" ca="1" si="0">IF(H2&lt;&gt;0,NETWORKDAYS(TODAY(),H2),"")</f>
        <v>-10</v>
      </c>
      <c r="J2" s="115" t="s">
        <v>89</v>
      </c>
      <c r="K2" s="115" t="s">
        <v>89</v>
      </c>
      <c r="L2" s="115" t="s">
        <v>89</v>
      </c>
      <c r="M2" s="115" t="s">
        <v>89</v>
      </c>
      <c r="N2" s="115">
        <v>41926</v>
      </c>
      <c r="O2" s="115" t="s">
        <v>89</v>
      </c>
      <c r="P2" s="115" t="s">
        <v>128</v>
      </c>
      <c r="Q2" s="118" t="s">
        <v>1717</v>
      </c>
      <c r="R2" s="112"/>
    </row>
    <row r="3" spans="1:18" s="20" customFormat="1" ht="60" x14ac:dyDescent="0.2">
      <c r="A3" s="165" t="s">
        <v>164</v>
      </c>
      <c r="B3" s="112">
        <v>1080581555</v>
      </c>
      <c r="C3" s="112" t="s">
        <v>1313</v>
      </c>
      <c r="D3" s="112" t="s">
        <v>118</v>
      </c>
      <c r="E3" s="161" t="s">
        <v>903</v>
      </c>
      <c r="F3" s="114" t="s">
        <v>111</v>
      </c>
      <c r="G3" s="115">
        <v>41198</v>
      </c>
      <c r="H3" s="162">
        <v>41687</v>
      </c>
      <c r="I3" s="160">
        <f t="shared" ca="1" si="0"/>
        <v>-185</v>
      </c>
      <c r="J3" s="115">
        <v>41212</v>
      </c>
      <c r="K3" s="115">
        <v>41701</v>
      </c>
      <c r="L3" s="115">
        <v>41330</v>
      </c>
      <c r="M3" s="115" t="s">
        <v>89</v>
      </c>
      <c r="N3" s="115">
        <v>41557</v>
      </c>
      <c r="O3" s="115" t="s">
        <v>89</v>
      </c>
      <c r="P3" s="115" t="s">
        <v>128</v>
      </c>
      <c r="Q3" s="118" t="s">
        <v>1434</v>
      </c>
      <c r="R3" s="112"/>
    </row>
    <row r="4" spans="1:18" s="20" customFormat="1" ht="105" x14ac:dyDescent="0.2">
      <c r="A4" s="165" t="s">
        <v>200</v>
      </c>
      <c r="B4" s="112">
        <v>1080582684</v>
      </c>
      <c r="C4" s="112">
        <v>1080581316</v>
      </c>
      <c r="D4" s="112" t="s">
        <v>201</v>
      </c>
      <c r="E4" s="161" t="s">
        <v>1016</v>
      </c>
      <c r="F4" s="114" t="s">
        <v>111</v>
      </c>
      <c r="G4" s="115">
        <v>41388</v>
      </c>
      <c r="H4" s="162">
        <v>41701</v>
      </c>
      <c r="I4" s="160">
        <f t="shared" ca="1" si="0"/>
        <v>-175</v>
      </c>
      <c r="J4" s="115">
        <v>41668</v>
      </c>
      <c r="K4" s="115">
        <v>41774</v>
      </c>
      <c r="L4" s="115" t="s">
        <v>89</v>
      </c>
      <c r="M4" s="115" t="s">
        <v>89</v>
      </c>
      <c r="N4" s="115">
        <v>41774</v>
      </c>
      <c r="O4" s="115">
        <v>41657</v>
      </c>
      <c r="P4" s="115" t="s">
        <v>128</v>
      </c>
      <c r="Q4" s="118" t="s">
        <v>1752</v>
      </c>
      <c r="R4" s="112"/>
    </row>
    <row r="5" spans="1:18" s="20" customFormat="1" ht="409.5" x14ac:dyDescent="0.2">
      <c r="A5" s="164" t="s">
        <v>285</v>
      </c>
      <c r="B5" s="102">
        <v>1080583157</v>
      </c>
      <c r="C5" s="102">
        <v>1080582522</v>
      </c>
      <c r="D5" s="102" t="s">
        <v>201</v>
      </c>
      <c r="E5" s="156" t="s">
        <v>934</v>
      </c>
      <c r="F5" s="104" t="s">
        <v>111</v>
      </c>
      <c r="G5" s="105">
        <v>41469</v>
      </c>
      <c r="H5" s="163">
        <v>41764</v>
      </c>
      <c r="I5" s="155">
        <f t="shared" ca="1" si="0"/>
        <v>-130</v>
      </c>
      <c r="J5" s="105">
        <v>41494</v>
      </c>
      <c r="K5" s="105">
        <v>41788</v>
      </c>
      <c r="L5" s="105" t="s">
        <v>89</v>
      </c>
      <c r="M5" s="105" t="s">
        <v>89</v>
      </c>
      <c r="N5" s="105" t="s">
        <v>113</v>
      </c>
      <c r="O5" s="105" t="s">
        <v>1067</v>
      </c>
      <c r="P5" s="105"/>
      <c r="Q5" s="108"/>
      <c r="R5" s="102"/>
    </row>
    <row r="6" spans="1:18" s="20" customFormat="1" ht="285" x14ac:dyDescent="0.2">
      <c r="A6" s="164" t="s">
        <v>293</v>
      </c>
      <c r="B6" s="102">
        <v>1080583160</v>
      </c>
      <c r="C6" s="102">
        <v>1080582522</v>
      </c>
      <c r="D6" s="102" t="s">
        <v>201</v>
      </c>
      <c r="E6" s="156" t="s">
        <v>1155</v>
      </c>
      <c r="F6" s="104" t="s">
        <v>294</v>
      </c>
      <c r="G6" s="105">
        <v>41469</v>
      </c>
      <c r="H6" s="163">
        <v>41764</v>
      </c>
      <c r="I6" s="155">
        <f t="shared" ca="1" si="0"/>
        <v>-130</v>
      </c>
      <c r="J6" s="105" t="s">
        <v>89</v>
      </c>
      <c r="K6" s="105" t="s">
        <v>89</v>
      </c>
      <c r="L6" s="105" t="s">
        <v>89</v>
      </c>
      <c r="M6" s="105" t="s">
        <v>89</v>
      </c>
      <c r="N6" s="105" t="s">
        <v>113</v>
      </c>
      <c r="O6" s="105" t="s">
        <v>1067</v>
      </c>
      <c r="P6" s="105"/>
      <c r="Q6" s="108"/>
      <c r="R6" s="102"/>
    </row>
    <row r="7" spans="1:18" s="20" customFormat="1" ht="255" x14ac:dyDescent="0.2">
      <c r="A7" s="165" t="s">
        <v>295</v>
      </c>
      <c r="B7" s="112">
        <v>1080583169</v>
      </c>
      <c r="C7" s="112">
        <v>1080582089</v>
      </c>
      <c r="D7" s="112" t="s">
        <v>201</v>
      </c>
      <c r="E7" s="161" t="s">
        <v>964</v>
      </c>
      <c r="F7" s="114" t="s">
        <v>294</v>
      </c>
      <c r="G7" s="115">
        <v>41470</v>
      </c>
      <c r="H7" s="162">
        <v>41701</v>
      </c>
      <c r="I7" s="160">
        <f t="shared" ca="1" si="0"/>
        <v>-175</v>
      </c>
      <c r="J7" s="115" t="s">
        <v>89</v>
      </c>
      <c r="K7" s="115" t="s">
        <v>89</v>
      </c>
      <c r="L7" s="115" t="s">
        <v>89</v>
      </c>
      <c r="M7" s="115" t="s">
        <v>89</v>
      </c>
      <c r="N7" s="115">
        <v>41774</v>
      </c>
      <c r="O7" s="115" t="s">
        <v>89</v>
      </c>
      <c r="P7" s="115" t="s">
        <v>128</v>
      </c>
      <c r="Q7" s="118" t="s">
        <v>1446</v>
      </c>
      <c r="R7" s="112"/>
    </row>
    <row r="8" spans="1:18" s="20" customFormat="1" ht="135" x14ac:dyDescent="0.2">
      <c r="A8" s="110" t="s">
        <v>968</v>
      </c>
      <c r="B8" s="112">
        <v>1080583601</v>
      </c>
      <c r="C8" s="112">
        <v>1080582846</v>
      </c>
      <c r="D8" s="112" t="s">
        <v>227</v>
      </c>
      <c r="E8" s="118" t="s">
        <v>970</v>
      </c>
      <c r="F8" s="114" t="s">
        <v>971</v>
      </c>
      <c r="G8" s="115">
        <v>41532</v>
      </c>
      <c r="H8" s="115">
        <v>41645</v>
      </c>
      <c r="I8" s="160">
        <f t="shared" ca="1" si="0"/>
        <v>-215</v>
      </c>
      <c r="J8" s="115" t="s">
        <v>89</v>
      </c>
      <c r="K8" s="115">
        <v>41599</v>
      </c>
      <c r="L8" s="115" t="s">
        <v>89</v>
      </c>
      <c r="M8" s="115" t="s">
        <v>89</v>
      </c>
      <c r="N8" s="115">
        <v>41797</v>
      </c>
      <c r="O8" s="115" t="s">
        <v>89</v>
      </c>
      <c r="P8" s="115" t="s">
        <v>128</v>
      </c>
      <c r="Q8" s="118" t="s">
        <v>1492</v>
      </c>
      <c r="R8" s="112"/>
    </row>
    <row r="9" spans="1:18" s="20" customFormat="1" ht="90" x14ac:dyDescent="0.2">
      <c r="A9" s="110" t="s">
        <v>1039</v>
      </c>
      <c r="B9" s="112">
        <v>1080583739</v>
      </c>
      <c r="C9" s="112">
        <v>1080581117</v>
      </c>
      <c r="D9" s="112" t="s">
        <v>102</v>
      </c>
      <c r="E9" s="118" t="s">
        <v>1044</v>
      </c>
      <c r="F9" s="114" t="s">
        <v>1045</v>
      </c>
      <c r="G9" s="115">
        <v>41551</v>
      </c>
      <c r="H9" s="115">
        <v>41649</v>
      </c>
      <c r="I9" s="160">
        <f t="shared" ca="1" si="0"/>
        <v>-211</v>
      </c>
      <c r="J9" s="115" t="s">
        <v>89</v>
      </c>
      <c r="K9" s="115" t="s">
        <v>89</v>
      </c>
      <c r="L9" s="115" t="s">
        <v>89</v>
      </c>
      <c r="M9" s="115" t="s">
        <v>89</v>
      </c>
      <c r="N9" s="115" t="s">
        <v>89</v>
      </c>
      <c r="O9" s="115" t="s">
        <v>89</v>
      </c>
      <c r="P9" s="115" t="s">
        <v>128</v>
      </c>
      <c r="Q9" s="118"/>
      <c r="R9" s="112"/>
    </row>
    <row r="10" spans="1:18" s="20" customFormat="1" ht="345" x14ac:dyDescent="0.2">
      <c r="A10" s="109" t="s">
        <v>1068</v>
      </c>
      <c r="B10" s="102">
        <v>1080583832</v>
      </c>
      <c r="C10" s="102">
        <v>1080582747</v>
      </c>
      <c r="D10" s="102" t="s">
        <v>1075</v>
      </c>
      <c r="E10" s="108" t="s">
        <v>1071</v>
      </c>
      <c r="F10" s="104" t="s">
        <v>244</v>
      </c>
      <c r="G10" s="105">
        <v>41567</v>
      </c>
      <c r="H10" s="105">
        <v>41820</v>
      </c>
      <c r="I10" s="155">
        <f t="shared" ca="1" si="0"/>
        <v>-90</v>
      </c>
      <c r="J10" s="105">
        <v>41551</v>
      </c>
      <c r="K10" s="105">
        <v>41724</v>
      </c>
      <c r="L10" s="105" t="s">
        <v>89</v>
      </c>
      <c r="M10" s="105">
        <v>41417</v>
      </c>
      <c r="N10" s="105" t="s">
        <v>104</v>
      </c>
      <c r="O10" s="105" t="s">
        <v>1067</v>
      </c>
      <c r="P10" s="105"/>
      <c r="Q10" s="108"/>
      <c r="R10" s="102"/>
    </row>
    <row r="11" spans="1:18" s="20" customFormat="1" ht="300" x14ac:dyDescent="0.2">
      <c r="A11" s="110" t="s">
        <v>1080</v>
      </c>
      <c r="B11" s="112">
        <v>1080583896</v>
      </c>
      <c r="C11" s="112">
        <v>1080582401</v>
      </c>
      <c r="D11" s="112" t="s">
        <v>1118</v>
      </c>
      <c r="E11" s="118" t="s">
        <v>1090</v>
      </c>
      <c r="F11" s="114" t="s">
        <v>315</v>
      </c>
      <c r="G11" s="115">
        <v>41577</v>
      </c>
      <c r="H11" s="115">
        <v>41645</v>
      </c>
      <c r="I11" s="160">
        <f t="shared" ca="1" si="0"/>
        <v>-215</v>
      </c>
      <c r="J11" s="115" t="s">
        <v>89</v>
      </c>
      <c r="K11" s="115">
        <v>41621</v>
      </c>
      <c r="L11" s="115" t="s">
        <v>89</v>
      </c>
      <c r="M11" s="115" t="s">
        <v>89</v>
      </c>
      <c r="N11" s="115">
        <v>41736</v>
      </c>
      <c r="O11" s="115" t="s">
        <v>89</v>
      </c>
      <c r="P11" s="115" t="s">
        <v>128</v>
      </c>
      <c r="Q11" s="118" t="s">
        <v>1396</v>
      </c>
      <c r="R11" s="112"/>
    </row>
    <row r="12" spans="1:18" s="20" customFormat="1" ht="180" x14ac:dyDescent="0.2">
      <c r="A12" s="109" t="s">
        <v>1081</v>
      </c>
      <c r="B12" s="102">
        <v>1080583898</v>
      </c>
      <c r="C12" s="102">
        <v>1080582401</v>
      </c>
      <c r="D12" s="102" t="s">
        <v>1118</v>
      </c>
      <c r="E12" s="108" t="s">
        <v>1091</v>
      </c>
      <c r="F12" s="104" t="s">
        <v>111</v>
      </c>
      <c r="G12" s="105">
        <v>41577</v>
      </c>
      <c r="H12" s="105">
        <v>41645</v>
      </c>
      <c r="I12" s="155">
        <f t="shared" ca="1" si="0"/>
        <v>-215</v>
      </c>
      <c r="J12" s="105">
        <v>41590</v>
      </c>
      <c r="K12" s="105">
        <v>41620</v>
      </c>
      <c r="L12" s="105" t="s">
        <v>89</v>
      </c>
      <c r="M12" s="105" t="s">
        <v>89</v>
      </c>
      <c r="N12" s="105" t="s">
        <v>113</v>
      </c>
      <c r="O12" s="105">
        <v>41695</v>
      </c>
      <c r="P12" s="105"/>
      <c r="Q12" s="108"/>
      <c r="R12" s="102"/>
    </row>
    <row r="13" spans="1:18" s="20" customFormat="1" ht="180" x14ac:dyDescent="0.2">
      <c r="A13" s="109" t="s">
        <v>1095</v>
      </c>
      <c r="B13" s="102">
        <v>1080583922</v>
      </c>
      <c r="C13" s="102">
        <v>1080583071</v>
      </c>
      <c r="D13" s="102" t="s">
        <v>1119</v>
      </c>
      <c r="E13" s="108" t="s">
        <v>1358</v>
      </c>
      <c r="F13" s="104" t="s">
        <v>111</v>
      </c>
      <c r="G13" s="105">
        <v>41579</v>
      </c>
      <c r="H13" s="105">
        <v>41820</v>
      </c>
      <c r="I13" s="155">
        <f t="shared" ca="1" si="0"/>
        <v>-90</v>
      </c>
      <c r="J13" s="105">
        <v>41597</v>
      </c>
      <c r="K13" s="105" t="s">
        <v>98</v>
      </c>
      <c r="L13" s="105" t="s">
        <v>89</v>
      </c>
      <c r="M13" s="105" t="s">
        <v>225</v>
      </c>
      <c r="N13" s="105" t="s">
        <v>99</v>
      </c>
      <c r="O13" s="105">
        <v>41696</v>
      </c>
      <c r="P13" s="105"/>
      <c r="Q13" s="108"/>
      <c r="R13" s="156" t="s">
        <v>1685</v>
      </c>
    </row>
    <row r="14" spans="1:18" s="20" customFormat="1" ht="105" x14ac:dyDescent="0.2">
      <c r="A14" s="110" t="s">
        <v>1096</v>
      </c>
      <c r="B14" s="112">
        <v>1080583924</v>
      </c>
      <c r="C14" s="112">
        <v>1080583806</v>
      </c>
      <c r="D14" s="112" t="s">
        <v>134</v>
      </c>
      <c r="E14" s="118" t="s">
        <v>1097</v>
      </c>
      <c r="F14" s="114" t="s">
        <v>215</v>
      </c>
      <c r="G14" s="115">
        <v>41580</v>
      </c>
      <c r="H14" s="115">
        <v>41806</v>
      </c>
      <c r="I14" s="160">
        <f t="shared" ca="1" si="0"/>
        <v>-100</v>
      </c>
      <c r="J14" s="115" t="s">
        <v>89</v>
      </c>
      <c r="K14" s="115">
        <v>41807</v>
      </c>
      <c r="L14" s="115" t="s">
        <v>89</v>
      </c>
      <c r="M14" s="115" t="s">
        <v>89</v>
      </c>
      <c r="N14" s="115">
        <v>41807</v>
      </c>
      <c r="O14" s="115">
        <v>41809</v>
      </c>
      <c r="P14" s="115" t="s">
        <v>128</v>
      </c>
      <c r="Q14" s="118" t="s">
        <v>1756</v>
      </c>
      <c r="R14" s="112"/>
    </row>
    <row r="15" spans="1:18" s="20" customFormat="1" ht="240" x14ac:dyDescent="0.2">
      <c r="A15" s="110" t="s">
        <v>1098</v>
      </c>
      <c r="B15" s="112">
        <v>1080583941</v>
      </c>
      <c r="C15" s="112">
        <v>1080582863</v>
      </c>
      <c r="D15" s="112" t="s">
        <v>1121</v>
      </c>
      <c r="E15" s="118" t="s">
        <v>1099</v>
      </c>
      <c r="F15" s="114" t="s">
        <v>1100</v>
      </c>
      <c r="G15" s="115">
        <v>41584</v>
      </c>
      <c r="H15" s="115">
        <v>41666</v>
      </c>
      <c r="I15" s="160">
        <f t="shared" ca="1" si="0"/>
        <v>-200</v>
      </c>
      <c r="J15" s="115" t="s">
        <v>89</v>
      </c>
      <c r="K15" s="115" t="s">
        <v>89</v>
      </c>
      <c r="L15" s="115" t="s">
        <v>89</v>
      </c>
      <c r="M15" s="115" t="s">
        <v>89</v>
      </c>
      <c r="N15" s="115">
        <v>41926</v>
      </c>
      <c r="O15" s="115" t="s">
        <v>89</v>
      </c>
      <c r="P15" s="115" t="s">
        <v>128</v>
      </c>
      <c r="Q15" s="118" t="s">
        <v>1719</v>
      </c>
      <c r="R15" s="112"/>
    </row>
    <row r="16" spans="1:18" s="20" customFormat="1" ht="180" x14ac:dyDescent="0.2">
      <c r="A16" s="110" t="s">
        <v>1105</v>
      </c>
      <c r="B16" s="112">
        <v>1080583944</v>
      </c>
      <c r="C16" s="112">
        <v>1080582784</v>
      </c>
      <c r="D16" s="112" t="s">
        <v>1122</v>
      </c>
      <c r="E16" s="118" t="s">
        <v>1114</v>
      </c>
      <c r="F16" s="114" t="s">
        <v>111</v>
      </c>
      <c r="G16" s="115">
        <v>41586</v>
      </c>
      <c r="H16" s="115">
        <v>41715</v>
      </c>
      <c r="I16" s="160">
        <f t="shared" ca="1" si="0"/>
        <v>-165</v>
      </c>
      <c r="J16" s="115">
        <v>41590</v>
      </c>
      <c r="K16" s="115">
        <v>41698</v>
      </c>
      <c r="L16" s="115" t="s">
        <v>89</v>
      </c>
      <c r="M16" s="115" t="s">
        <v>89</v>
      </c>
      <c r="N16" s="115">
        <v>41740</v>
      </c>
      <c r="O16" s="115">
        <v>41705</v>
      </c>
      <c r="P16" s="115" t="s">
        <v>128</v>
      </c>
      <c r="Q16" s="118" t="s">
        <v>1409</v>
      </c>
      <c r="R16" s="112"/>
    </row>
    <row r="17" spans="1:18" s="20" customFormat="1" ht="150" x14ac:dyDescent="0.2">
      <c r="A17" s="110" t="s">
        <v>1108</v>
      </c>
      <c r="B17" s="112">
        <v>1080583964</v>
      </c>
      <c r="C17" s="112">
        <v>1080583116</v>
      </c>
      <c r="D17" s="112" t="s">
        <v>102</v>
      </c>
      <c r="E17" s="118" t="s">
        <v>1117</v>
      </c>
      <c r="F17" s="114" t="s">
        <v>103</v>
      </c>
      <c r="G17" s="115">
        <v>41588</v>
      </c>
      <c r="H17" s="115">
        <v>41666</v>
      </c>
      <c r="I17" s="160">
        <f t="shared" ref="I17:I38" ca="1" si="1">IF(H17&lt;&gt;0,NETWORKDAYS(TODAY(),H17),"")</f>
        <v>-200</v>
      </c>
      <c r="J17" s="115" t="s">
        <v>89</v>
      </c>
      <c r="K17" s="115" t="s">
        <v>89</v>
      </c>
      <c r="L17" s="115" t="s">
        <v>89</v>
      </c>
      <c r="M17" s="115" t="s">
        <v>89</v>
      </c>
      <c r="N17" s="115">
        <v>41596</v>
      </c>
      <c r="O17" s="115" t="s">
        <v>89</v>
      </c>
      <c r="P17" s="115" t="s">
        <v>128</v>
      </c>
      <c r="Q17" s="118" t="s">
        <v>1453</v>
      </c>
      <c r="R17" s="112"/>
    </row>
    <row r="18" spans="1:18" s="20" customFormat="1" ht="195" x14ac:dyDescent="0.2">
      <c r="A18" s="110" t="s">
        <v>1123</v>
      </c>
      <c r="B18" s="112">
        <v>1080583987</v>
      </c>
      <c r="C18" s="112">
        <v>1080583616</v>
      </c>
      <c r="D18" s="112" t="s">
        <v>1120</v>
      </c>
      <c r="E18" s="118" t="s">
        <v>1125</v>
      </c>
      <c r="F18" s="114" t="s">
        <v>167</v>
      </c>
      <c r="G18" s="115">
        <v>41591</v>
      </c>
      <c r="H18" s="115">
        <v>41673</v>
      </c>
      <c r="I18" s="160">
        <f t="shared" ca="1" si="1"/>
        <v>-195</v>
      </c>
      <c r="J18" s="115" t="s">
        <v>89</v>
      </c>
      <c r="K18" s="115">
        <v>41698</v>
      </c>
      <c r="L18" s="115" t="s">
        <v>89</v>
      </c>
      <c r="M18" s="115" t="s">
        <v>89</v>
      </c>
      <c r="N18" s="115">
        <v>41605</v>
      </c>
      <c r="O18" s="115">
        <v>41725</v>
      </c>
      <c r="P18" s="115" t="s">
        <v>128</v>
      </c>
      <c r="Q18" s="118" t="s">
        <v>1378</v>
      </c>
      <c r="R18" s="112"/>
    </row>
    <row r="19" spans="1:18" s="20" customFormat="1" ht="300" x14ac:dyDescent="0.2">
      <c r="A19" s="109" t="s">
        <v>1142</v>
      </c>
      <c r="B19" s="102">
        <v>1080584056</v>
      </c>
      <c r="C19" s="102">
        <v>1080583387</v>
      </c>
      <c r="D19" s="102" t="s">
        <v>1010</v>
      </c>
      <c r="E19" s="108" t="s">
        <v>1147</v>
      </c>
      <c r="F19" s="104" t="s">
        <v>1148</v>
      </c>
      <c r="G19" s="105">
        <v>41602</v>
      </c>
      <c r="H19" s="105">
        <v>41694</v>
      </c>
      <c r="I19" s="155">
        <f t="shared" ca="1" si="1"/>
        <v>-180</v>
      </c>
      <c r="J19" s="105" t="s">
        <v>89</v>
      </c>
      <c r="K19" s="105" t="s">
        <v>323</v>
      </c>
      <c r="L19" s="105" t="s">
        <v>89</v>
      </c>
      <c r="M19" s="105" t="s">
        <v>89</v>
      </c>
      <c r="N19" s="105" t="s">
        <v>1501</v>
      </c>
      <c r="O19" s="105">
        <v>41733</v>
      </c>
      <c r="P19" s="105"/>
      <c r="Q19" s="108"/>
      <c r="R19" s="102"/>
    </row>
    <row r="20" spans="1:18" s="20" customFormat="1" ht="135" x14ac:dyDescent="0.2">
      <c r="A20" s="109" t="s">
        <v>1150</v>
      </c>
      <c r="B20" s="102">
        <v>1080584074</v>
      </c>
      <c r="C20" s="102">
        <v>1080583296</v>
      </c>
      <c r="D20" s="102" t="s">
        <v>1163</v>
      </c>
      <c r="E20" s="108" t="s">
        <v>1156</v>
      </c>
      <c r="F20" s="104" t="s">
        <v>111</v>
      </c>
      <c r="G20" s="105">
        <v>41604</v>
      </c>
      <c r="H20" s="105">
        <v>41855</v>
      </c>
      <c r="I20" s="155">
        <f t="shared" ca="1" si="1"/>
        <v>-65</v>
      </c>
      <c r="J20" s="105">
        <v>41614</v>
      </c>
      <c r="K20" s="105">
        <v>41919</v>
      </c>
      <c r="L20" s="105">
        <v>41870</v>
      </c>
      <c r="M20" s="105" t="s">
        <v>89</v>
      </c>
      <c r="N20" s="105" t="s">
        <v>1048</v>
      </c>
      <c r="O20" s="105" t="s">
        <v>153</v>
      </c>
      <c r="P20" s="105"/>
      <c r="Q20" s="108"/>
      <c r="R20" s="102"/>
    </row>
    <row r="21" spans="1:18" s="20" customFormat="1" ht="240" x14ac:dyDescent="0.2">
      <c r="A21" s="109" t="s">
        <v>1153</v>
      </c>
      <c r="B21" s="102">
        <v>1080584082</v>
      </c>
      <c r="C21" s="102">
        <v>1080583627</v>
      </c>
      <c r="D21" s="102" t="s">
        <v>261</v>
      </c>
      <c r="E21" s="108" t="s">
        <v>1160</v>
      </c>
      <c r="F21" s="104" t="s">
        <v>217</v>
      </c>
      <c r="G21" s="105">
        <v>41605</v>
      </c>
      <c r="H21" s="105">
        <v>41869</v>
      </c>
      <c r="I21" s="155">
        <f t="shared" ca="1" si="1"/>
        <v>-55</v>
      </c>
      <c r="J21" s="105" t="s">
        <v>89</v>
      </c>
      <c r="K21" s="105" t="s">
        <v>89</v>
      </c>
      <c r="L21" s="105" t="s">
        <v>89</v>
      </c>
      <c r="M21" s="105" t="s">
        <v>89</v>
      </c>
      <c r="N21" s="105" t="s">
        <v>136</v>
      </c>
      <c r="O21" s="105" t="s">
        <v>89</v>
      </c>
      <c r="P21" s="105"/>
      <c r="Q21" s="108"/>
      <c r="R21" s="102"/>
    </row>
    <row r="22" spans="1:18" s="20" customFormat="1" ht="90" x14ac:dyDescent="0.2">
      <c r="A22" s="110" t="s">
        <v>1206</v>
      </c>
      <c r="B22" s="112">
        <v>1080584188</v>
      </c>
      <c r="C22" s="112">
        <v>1080583790</v>
      </c>
      <c r="D22" s="112" t="s">
        <v>1233</v>
      </c>
      <c r="E22" s="118" t="s">
        <v>1210</v>
      </c>
      <c r="F22" s="114" t="s">
        <v>639</v>
      </c>
      <c r="G22" s="115">
        <v>41635</v>
      </c>
      <c r="H22" s="115">
        <v>41764</v>
      </c>
      <c r="I22" s="160">
        <f t="shared" ca="1" si="1"/>
        <v>-130</v>
      </c>
      <c r="J22" s="115" t="s">
        <v>89</v>
      </c>
      <c r="K22" s="115">
        <v>41753</v>
      </c>
      <c r="L22" s="115" t="s">
        <v>89</v>
      </c>
      <c r="M22" s="115" t="s">
        <v>89</v>
      </c>
      <c r="N22" s="115">
        <v>41731</v>
      </c>
      <c r="O22" s="115">
        <v>41935</v>
      </c>
      <c r="P22" s="115" t="s">
        <v>128</v>
      </c>
      <c r="Q22" s="118" t="s">
        <v>1756</v>
      </c>
      <c r="R22" s="112"/>
    </row>
    <row r="23" spans="1:18" s="20" customFormat="1" ht="150" x14ac:dyDescent="0.2">
      <c r="A23" s="109" t="s">
        <v>1208</v>
      </c>
      <c r="B23" s="102">
        <v>1080584192</v>
      </c>
      <c r="C23" s="102">
        <v>1080581837</v>
      </c>
      <c r="D23" s="102" t="s">
        <v>118</v>
      </c>
      <c r="E23" s="108" t="s">
        <v>1213</v>
      </c>
      <c r="F23" s="104" t="s">
        <v>1214</v>
      </c>
      <c r="G23" s="105">
        <v>41638</v>
      </c>
      <c r="H23" s="105">
        <v>41682</v>
      </c>
      <c r="I23" s="155">
        <f t="shared" ca="1" si="1"/>
        <v>-188</v>
      </c>
      <c r="J23" s="105" t="s">
        <v>89</v>
      </c>
      <c r="K23" s="105" t="s">
        <v>89</v>
      </c>
      <c r="L23" s="105" t="s">
        <v>89</v>
      </c>
      <c r="M23" s="105" t="s">
        <v>89</v>
      </c>
      <c r="N23" s="105" t="s">
        <v>104</v>
      </c>
      <c r="O23" s="105" t="s">
        <v>89</v>
      </c>
      <c r="P23" s="105"/>
      <c r="Q23" s="108"/>
      <c r="R23" s="102"/>
    </row>
    <row r="24" spans="1:18" s="20" customFormat="1" ht="135" x14ac:dyDescent="0.2">
      <c r="A24" s="109" t="s">
        <v>1220</v>
      </c>
      <c r="B24" s="102">
        <v>1080584218</v>
      </c>
      <c r="C24" s="102">
        <v>1080583492</v>
      </c>
      <c r="D24" s="102" t="s">
        <v>134</v>
      </c>
      <c r="E24" s="108" t="s">
        <v>1226</v>
      </c>
      <c r="F24" s="104" t="s">
        <v>215</v>
      </c>
      <c r="G24" s="105">
        <v>41646</v>
      </c>
      <c r="H24" s="105">
        <v>41827</v>
      </c>
      <c r="I24" s="155">
        <f t="shared" ca="1" si="1"/>
        <v>-85</v>
      </c>
      <c r="J24" s="105" t="s">
        <v>89</v>
      </c>
      <c r="K24" s="105">
        <v>41793</v>
      </c>
      <c r="L24" s="105" t="s">
        <v>89</v>
      </c>
      <c r="M24" s="105" t="s">
        <v>89</v>
      </c>
      <c r="N24" s="105">
        <v>41876</v>
      </c>
      <c r="O24" s="105" t="s">
        <v>153</v>
      </c>
      <c r="P24" s="105"/>
      <c r="Q24" s="108"/>
      <c r="R24" s="102"/>
    </row>
    <row r="25" spans="1:18" s="20" customFormat="1" ht="409.5" x14ac:dyDescent="0.2">
      <c r="A25" s="109" t="s">
        <v>1238</v>
      </c>
      <c r="B25" s="102">
        <v>1080584273</v>
      </c>
      <c r="C25" s="102">
        <v>1080583582</v>
      </c>
      <c r="D25" s="102" t="s">
        <v>134</v>
      </c>
      <c r="E25" s="108" t="s">
        <v>1474</v>
      </c>
      <c r="F25" s="104" t="s">
        <v>255</v>
      </c>
      <c r="G25" s="105">
        <v>41654</v>
      </c>
      <c r="H25" s="105">
        <v>41806</v>
      </c>
      <c r="I25" s="155">
        <f t="shared" ca="1" si="1"/>
        <v>-100</v>
      </c>
      <c r="J25" s="105">
        <v>41723</v>
      </c>
      <c r="K25" s="105" t="s">
        <v>89</v>
      </c>
      <c r="L25" s="105" t="s">
        <v>89</v>
      </c>
      <c r="M25" s="105" t="s">
        <v>89</v>
      </c>
      <c r="N25" s="105" t="s">
        <v>136</v>
      </c>
      <c r="O25" s="105" t="s">
        <v>1067</v>
      </c>
      <c r="P25" s="105"/>
      <c r="Q25" s="108"/>
      <c r="R25" s="102"/>
    </row>
    <row r="26" spans="1:18" s="20" customFormat="1" ht="345" x14ac:dyDescent="0.2">
      <c r="A26" s="109" t="s">
        <v>1243</v>
      </c>
      <c r="B26" s="102">
        <v>1080584303</v>
      </c>
      <c r="C26" s="102">
        <v>1080583935</v>
      </c>
      <c r="D26" s="102" t="s">
        <v>134</v>
      </c>
      <c r="E26" s="108" t="s">
        <v>1245</v>
      </c>
      <c r="F26" s="104" t="s">
        <v>152</v>
      </c>
      <c r="G26" s="105">
        <v>41661</v>
      </c>
      <c r="H26" s="105">
        <v>41911</v>
      </c>
      <c r="I26" s="155">
        <f t="shared" ca="1" si="1"/>
        <v>-25</v>
      </c>
      <c r="J26" s="105" t="s">
        <v>89</v>
      </c>
      <c r="K26" s="105" t="s">
        <v>89</v>
      </c>
      <c r="L26" s="105" t="s">
        <v>171</v>
      </c>
      <c r="M26" s="105" t="s">
        <v>89</v>
      </c>
      <c r="N26" s="105" t="s">
        <v>1247</v>
      </c>
      <c r="O26" s="105" t="s">
        <v>153</v>
      </c>
      <c r="P26" s="105"/>
      <c r="Q26" s="108"/>
      <c r="R26" s="156" t="s">
        <v>1689</v>
      </c>
    </row>
    <row r="27" spans="1:18" s="20" customFormat="1" ht="180" x14ac:dyDescent="0.2">
      <c r="A27" s="109" t="s">
        <v>1244</v>
      </c>
      <c r="B27" s="102">
        <v>1080584305</v>
      </c>
      <c r="C27" s="102">
        <v>1080583935</v>
      </c>
      <c r="D27" s="102" t="s">
        <v>134</v>
      </c>
      <c r="E27" s="108" t="s">
        <v>1246</v>
      </c>
      <c r="F27" s="104" t="s">
        <v>186</v>
      </c>
      <c r="G27" s="105">
        <v>41661</v>
      </c>
      <c r="H27" s="105">
        <v>41862</v>
      </c>
      <c r="I27" s="155">
        <f t="shared" ca="1" si="1"/>
        <v>-60</v>
      </c>
      <c r="J27" s="105">
        <v>41879</v>
      </c>
      <c r="K27" s="105">
        <v>41928</v>
      </c>
      <c r="L27" s="105" t="s">
        <v>171</v>
      </c>
      <c r="M27" s="105" t="s">
        <v>89</v>
      </c>
      <c r="N27" s="105" t="s">
        <v>136</v>
      </c>
      <c r="O27" s="105" t="s">
        <v>1067</v>
      </c>
      <c r="P27" s="105"/>
      <c r="Q27" s="108"/>
      <c r="R27" s="102"/>
    </row>
    <row r="28" spans="1:18" s="20" customFormat="1" ht="270" x14ac:dyDescent="0.2">
      <c r="A28" s="119" t="s">
        <v>1248</v>
      </c>
      <c r="B28" s="16">
        <v>1080584325</v>
      </c>
      <c r="C28" s="16">
        <v>1080583763</v>
      </c>
      <c r="D28" s="102" t="s">
        <v>1252</v>
      </c>
      <c r="E28" s="96" t="s">
        <v>1251</v>
      </c>
      <c r="F28" s="120" t="s">
        <v>111</v>
      </c>
      <c r="G28" s="19">
        <v>41663</v>
      </c>
      <c r="H28" s="19">
        <v>41771</v>
      </c>
      <c r="I28" s="24">
        <f t="shared" ca="1" si="1"/>
        <v>-125</v>
      </c>
      <c r="J28" s="19" t="s">
        <v>89</v>
      </c>
      <c r="K28" s="19" t="s">
        <v>98</v>
      </c>
      <c r="L28" s="19" t="s">
        <v>89</v>
      </c>
      <c r="M28" s="19" t="s">
        <v>89</v>
      </c>
      <c r="N28" s="19" t="s">
        <v>113</v>
      </c>
      <c r="O28" s="19" t="s">
        <v>1067</v>
      </c>
      <c r="P28" s="19"/>
      <c r="Q28" s="96"/>
      <c r="R28" s="187" t="s">
        <v>1686</v>
      </c>
    </row>
    <row r="29" spans="1:18" s="20" customFormat="1" ht="120" x14ac:dyDescent="0.2">
      <c r="A29" s="110" t="s">
        <v>1257</v>
      </c>
      <c r="B29" s="112">
        <v>1080584356</v>
      </c>
      <c r="C29" s="112">
        <v>1080583698</v>
      </c>
      <c r="D29" s="112" t="s">
        <v>1118</v>
      </c>
      <c r="E29" s="118" t="s">
        <v>1265</v>
      </c>
      <c r="F29" s="114" t="s">
        <v>1266</v>
      </c>
      <c r="G29" s="115">
        <v>41668</v>
      </c>
      <c r="H29" s="115">
        <v>41736</v>
      </c>
      <c r="I29" s="160">
        <f t="shared" ca="1" si="1"/>
        <v>-150</v>
      </c>
      <c r="J29" s="115" t="s">
        <v>89</v>
      </c>
      <c r="K29" s="115" t="s">
        <v>89</v>
      </c>
      <c r="L29" s="115" t="s">
        <v>89</v>
      </c>
      <c r="M29" s="115" t="s">
        <v>89</v>
      </c>
      <c r="N29" s="115">
        <v>41926</v>
      </c>
      <c r="O29" s="115" t="s">
        <v>89</v>
      </c>
      <c r="P29" s="115" t="s">
        <v>128</v>
      </c>
      <c r="Q29" s="118" t="s">
        <v>1720</v>
      </c>
      <c r="R29" s="112"/>
    </row>
    <row r="30" spans="1:18" s="20" customFormat="1" ht="375" x14ac:dyDescent="0.2">
      <c r="A30" s="109" t="s">
        <v>1278</v>
      </c>
      <c r="B30" s="102">
        <v>1080584418</v>
      </c>
      <c r="C30" s="102">
        <v>1080583070</v>
      </c>
      <c r="D30" s="102" t="s">
        <v>102</v>
      </c>
      <c r="E30" s="108" t="s">
        <v>1283</v>
      </c>
      <c r="F30" s="104" t="s">
        <v>1284</v>
      </c>
      <c r="G30" s="105">
        <v>41677</v>
      </c>
      <c r="H30" s="105">
        <v>41750</v>
      </c>
      <c r="I30" s="155">
        <f t="shared" ca="1" si="1"/>
        <v>-140</v>
      </c>
      <c r="J30" s="105" t="s">
        <v>89</v>
      </c>
      <c r="K30" s="105">
        <v>41772</v>
      </c>
      <c r="L30" s="105" t="s">
        <v>89</v>
      </c>
      <c r="M30" s="105" t="s">
        <v>89</v>
      </c>
      <c r="N30" s="105" t="s">
        <v>1048</v>
      </c>
      <c r="O30" s="105" t="s">
        <v>207</v>
      </c>
      <c r="P30" s="105"/>
      <c r="Q30" s="108"/>
      <c r="R30" s="156" t="s">
        <v>1687</v>
      </c>
    </row>
    <row r="31" spans="1:18" s="20" customFormat="1" ht="150" x14ac:dyDescent="0.2">
      <c r="A31" s="110" t="s">
        <v>1280</v>
      </c>
      <c r="B31" s="112">
        <v>1080584422</v>
      </c>
      <c r="C31" s="112">
        <v>1080583795</v>
      </c>
      <c r="D31" s="112" t="s">
        <v>122</v>
      </c>
      <c r="E31" s="118" t="s">
        <v>1286</v>
      </c>
      <c r="F31" s="114" t="s">
        <v>258</v>
      </c>
      <c r="G31" s="115">
        <v>41679</v>
      </c>
      <c r="H31" s="115">
        <v>41736</v>
      </c>
      <c r="I31" s="160">
        <f t="shared" ca="1" si="1"/>
        <v>-150</v>
      </c>
      <c r="J31" s="115">
        <v>11414</v>
      </c>
      <c r="K31" s="115">
        <v>41694</v>
      </c>
      <c r="L31" s="115" t="s">
        <v>89</v>
      </c>
      <c r="M31" s="115" t="s">
        <v>89</v>
      </c>
      <c r="N31" s="115">
        <v>41927</v>
      </c>
      <c r="O31" s="115">
        <v>41696</v>
      </c>
      <c r="P31" s="115" t="s">
        <v>128</v>
      </c>
      <c r="Q31" s="118" t="s">
        <v>1720</v>
      </c>
      <c r="R31" s="112"/>
    </row>
    <row r="32" spans="1:18" s="20" customFormat="1" ht="345" x14ac:dyDescent="0.2">
      <c r="A32" s="109" t="s">
        <v>1307</v>
      </c>
      <c r="B32" s="102">
        <v>1080584517</v>
      </c>
      <c r="C32" s="102">
        <v>1080582850</v>
      </c>
      <c r="D32" s="102" t="s">
        <v>102</v>
      </c>
      <c r="E32" s="108" t="s">
        <v>1309</v>
      </c>
      <c r="F32" s="104" t="s">
        <v>1763</v>
      </c>
      <c r="G32" s="105">
        <v>41692</v>
      </c>
      <c r="H32" s="105">
        <v>41834</v>
      </c>
      <c r="I32" s="155">
        <f t="shared" ca="1" si="1"/>
        <v>-80</v>
      </c>
      <c r="J32" s="105" t="s">
        <v>89</v>
      </c>
      <c r="K32" s="105" t="s">
        <v>161</v>
      </c>
      <c r="L32" s="105" t="s">
        <v>89</v>
      </c>
      <c r="M32" s="105" t="s">
        <v>89</v>
      </c>
      <c r="N32" s="105" t="s">
        <v>1767</v>
      </c>
      <c r="O32" s="105" t="s">
        <v>89</v>
      </c>
      <c r="P32" s="105"/>
      <c r="Q32" s="108"/>
      <c r="R32" s="156" t="s">
        <v>1688</v>
      </c>
    </row>
    <row r="33" spans="1:18" s="20" customFormat="1" ht="195" x14ac:dyDescent="0.2">
      <c r="A33" s="109" t="s">
        <v>1332</v>
      </c>
      <c r="B33" s="102">
        <v>1080584623</v>
      </c>
      <c r="C33" s="102">
        <v>1080583114</v>
      </c>
      <c r="D33" s="102" t="s">
        <v>201</v>
      </c>
      <c r="E33" s="108" t="s">
        <v>1337</v>
      </c>
      <c r="F33" s="104" t="s">
        <v>1338</v>
      </c>
      <c r="G33" s="105">
        <v>41706</v>
      </c>
      <c r="H33" s="105">
        <v>41789</v>
      </c>
      <c r="I33" s="155">
        <f t="shared" ca="1" si="1"/>
        <v>-111</v>
      </c>
      <c r="J33" s="105">
        <v>41730</v>
      </c>
      <c r="K33" s="105">
        <v>41775</v>
      </c>
      <c r="L33" s="105" t="s">
        <v>89</v>
      </c>
      <c r="M33" s="105" t="s">
        <v>89</v>
      </c>
      <c r="N33" s="105" t="s">
        <v>113</v>
      </c>
      <c r="O33" s="105" t="s">
        <v>1067</v>
      </c>
      <c r="P33" s="105"/>
      <c r="Q33" s="108"/>
      <c r="R33" s="102"/>
    </row>
    <row r="34" spans="1:18" s="20" customFormat="1" ht="105" x14ac:dyDescent="0.2">
      <c r="A34" s="109" t="s">
        <v>1334</v>
      </c>
      <c r="B34" s="102">
        <v>1080584628</v>
      </c>
      <c r="C34" s="102">
        <v>1080583604</v>
      </c>
      <c r="D34" s="102" t="s">
        <v>201</v>
      </c>
      <c r="E34" s="108" t="s">
        <v>1340</v>
      </c>
      <c r="F34" s="104" t="s">
        <v>111</v>
      </c>
      <c r="G34" s="105">
        <v>41707</v>
      </c>
      <c r="H34" s="105">
        <v>41792</v>
      </c>
      <c r="I34" s="155">
        <f t="shared" ca="1" si="1"/>
        <v>-110</v>
      </c>
      <c r="J34" s="105" t="s">
        <v>89</v>
      </c>
      <c r="K34" s="105">
        <v>41782</v>
      </c>
      <c r="L34" s="105" t="s">
        <v>89</v>
      </c>
      <c r="M34" s="105">
        <v>41481</v>
      </c>
      <c r="N34" s="105" t="s">
        <v>113</v>
      </c>
      <c r="O34" s="105">
        <v>41927</v>
      </c>
      <c r="P34" s="105"/>
      <c r="Q34" s="108"/>
      <c r="R34" s="102"/>
    </row>
    <row r="35" spans="1:18" s="20" customFormat="1" ht="120" x14ac:dyDescent="0.2">
      <c r="A35" s="110" t="s">
        <v>1343</v>
      </c>
      <c r="B35" s="112">
        <v>1080584664</v>
      </c>
      <c r="C35" s="112">
        <v>1080583612</v>
      </c>
      <c r="D35" s="112" t="s">
        <v>201</v>
      </c>
      <c r="E35" s="118" t="s">
        <v>1347</v>
      </c>
      <c r="F35" s="114" t="s">
        <v>1348</v>
      </c>
      <c r="G35" s="115">
        <v>41711</v>
      </c>
      <c r="H35" s="115">
        <v>41792</v>
      </c>
      <c r="I35" s="160">
        <f t="shared" ca="1" si="1"/>
        <v>-110</v>
      </c>
      <c r="J35" s="115" t="s">
        <v>89</v>
      </c>
      <c r="K35" s="115">
        <v>41771</v>
      </c>
      <c r="L35" s="115" t="s">
        <v>89</v>
      </c>
      <c r="M35" s="115" t="s">
        <v>89</v>
      </c>
      <c r="N35" s="115">
        <v>41774</v>
      </c>
      <c r="O35" s="115">
        <v>41801</v>
      </c>
      <c r="P35" s="115" t="s">
        <v>128</v>
      </c>
      <c r="Q35" s="118" t="s">
        <v>1505</v>
      </c>
      <c r="R35" s="112"/>
    </row>
    <row r="36" spans="1:18" s="20" customFormat="1" ht="135" x14ac:dyDescent="0.2">
      <c r="A36" s="109" t="s">
        <v>1349</v>
      </c>
      <c r="B36" s="102">
        <v>1080584677</v>
      </c>
      <c r="C36" s="102">
        <v>1080583497</v>
      </c>
      <c r="D36" s="102" t="s">
        <v>1357</v>
      </c>
      <c r="E36" s="108" t="s">
        <v>1354</v>
      </c>
      <c r="F36" s="104" t="s">
        <v>244</v>
      </c>
      <c r="G36" s="105">
        <v>41712</v>
      </c>
      <c r="H36" s="105">
        <v>41834</v>
      </c>
      <c r="I36" s="155">
        <f t="shared" ca="1" si="1"/>
        <v>-80</v>
      </c>
      <c r="J36" s="105">
        <v>41596</v>
      </c>
      <c r="K36" s="105">
        <v>41719</v>
      </c>
      <c r="L36" s="105" t="s">
        <v>1287</v>
      </c>
      <c r="M36" s="105" t="s">
        <v>89</v>
      </c>
      <c r="N36" s="105" t="s">
        <v>113</v>
      </c>
      <c r="O36" s="105" t="s">
        <v>89</v>
      </c>
      <c r="P36" s="105"/>
      <c r="Q36" s="108"/>
      <c r="R36" s="102"/>
    </row>
    <row r="37" spans="1:18" s="20" customFormat="1" ht="120" x14ac:dyDescent="0.2">
      <c r="A37" s="109" t="s">
        <v>1352</v>
      </c>
      <c r="B37" s="102">
        <v>1080584685</v>
      </c>
      <c r="C37" s="102">
        <v>1080584169</v>
      </c>
      <c r="D37" s="102" t="s">
        <v>265</v>
      </c>
      <c r="E37" s="108" t="s">
        <v>1359</v>
      </c>
      <c r="F37" s="104" t="s">
        <v>215</v>
      </c>
      <c r="G37" s="105">
        <v>41714</v>
      </c>
      <c r="H37" s="105">
        <v>41813</v>
      </c>
      <c r="I37" s="155">
        <f t="shared" ca="1" si="1"/>
        <v>-95</v>
      </c>
      <c r="J37" s="105" t="s">
        <v>89</v>
      </c>
      <c r="K37" s="105">
        <v>41789</v>
      </c>
      <c r="L37" s="105" t="s">
        <v>89</v>
      </c>
      <c r="M37" s="105" t="s">
        <v>89</v>
      </c>
      <c r="N37" s="105">
        <v>41789</v>
      </c>
      <c r="O37" s="105" t="s">
        <v>153</v>
      </c>
      <c r="P37" s="105"/>
      <c r="Q37" s="108"/>
      <c r="R37" s="102"/>
    </row>
    <row r="38" spans="1:18" s="20" customFormat="1" ht="180" x14ac:dyDescent="0.2">
      <c r="A38" s="109" t="s">
        <v>1360</v>
      </c>
      <c r="B38" s="102">
        <v>1080584717</v>
      </c>
      <c r="C38" s="102">
        <v>1080583809</v>
      </c>
      <c r="D38" s="102" t="s">
        <v>201</v>
      </c>
      <c r="E38" s="108" t="s">
        <v>1366</v>
      </c>
      <c r="F38" s="104" t="s">
        <v>294</v>
      </c>
      <c r="G38" s="105">
        <v>41720</v>
      </c>
      <c r="H38" s="105">
        <v>41813</v>
      </c>
      <c r="I38" s="155">
        <f t="shared" ca="1" si="1"/>
        <v>-95</v>
      </c>
      <c r="J38" s="105">
        <v>41750</v>
      </c>
      <c r="K38" s="105">
        <v>41888</v>
      </c>
      <c r="L38" s="105">
        <v>41922</v>
      </c>
      <c r="M38" s="105" t="s">
        <v>89</v>
      </c>
      <c r="N38" s="105" t="s">
        <v>113</v>
      </c>
      <c r="O38" s="105" t="s">
        <v>1067</v>
      </c>
      <c r="P38" s="105"/>
      <c r="Q38" s="108"/>
      <c r="R38" s="102"/>
    </row>
    <row r="39" spans="1:18" s="20" customFormat="1" ht="75" x14ac:dyDescent="0.2">
      <c r="A39" s="109" t="s">
        <v>1361</v>
      </c>
      <c r="B39" s="102">
        <v>1080584718</v>
      </c>
      <c r="C39" s="102">
        <v>1080583809</v>
      </c>
      <c r="D39" s="102" t="s">
        <v>201</v>
      </c>
      <c r="E39" s="108" t="s">
        <v>1367</v>
      </c>
      <c r="F39" s="104" t="s">
        <v>294</v>
      </c>
      <c r="G39" s="105">
        <v>41720</v>
      </c>
      <c r="H39" s="105">
        <v>41813</v>
      </c>
      <c r="I39" s="155">
        <f t="shared" ref="I39:I43" ca="1" si="2">IF(H39&lt;&gt;0,NETWORKDAYS(TODAY(),H39),"")</f>
        <v>-95</v>
      </c>
      <c r="J39" s="105" t="s">
        <v>89</v>
      </c>
      <c r="K39" s="105">
        <v>41885</v>
      </c>
      <c r="L39" s="105" t="s">
        <v>1371</v>
      </c>
      <c r="M39" s="105" t="s">
        <v>225</v>
      </c>
      <c r="N39" s="105" t="s">
        <v>113</v>
      </c>
      <c r="O39" s="105" t="s">
        <v>1067</v>
      </c>
      <c r="P39" s="105"/>
      <c r="Q39" s="108"/>
      <c r="R39" s="102"/>
    </row>
    <row r="40" spans="1:18" s="20" customFormat="1" ht="120" x14ac:dyDescent="0.2">
      <c r="A40" s="109" t="s">
        <v>1364</v>
      </c>
      <c r="B40" s="102">
        <v>1080584721</v>
      </c>
      <c r="C40" s="102">
        <v>1080583809</v>
      </c>
      <c r="D40" s="102" t="s">
        <v>201</v>
      </c>
      <c r="E40" s="108" t="s">
        <v>1370</v>
      </c>
      <c r="F40" s="104" t="s">
        <v>111</v>
      </c>
      <c r="G40" s="105">
        <v>41720</v>
      </c>
      <c r="H40" s="105">
        <v>41813</v>
      </c>
      <c r="I40" s="155">
        <f t="shared" ca="1" si="2"/>
        <v>-95</v>
      </c>
      <c r="J40" s="105">
        <v>41788</v>
      </c>
      <c r="K40" s="105">
        <v>41757</v>
      </c>
      <c r="L40" s="105" t="s">
        <v>89</v>
      </c>
      <c r="M40" s="105" t="s">
        <v>89</v>
      </c>
      <c r="N40" s="105" t="s">
        <v>113</v>
      </c>
      <c r="O40" s="105" t="s">
        <v>1067</v>
      </c>
      <c r="P40" s="105"/>
      <c r="Q40" s="108"/>
      <c r="R40" s="102"/>
    </row>
    <row r="41" spans="1:18" s="20" customFormat="1" ht="90" x14ac:dyDescent="0.2">
      <c r="A41" s="109" t="s">
        <v>1373</v>
      </c>
      <c r="B41" s="102">
        <v>1080584763</v>
      </c>
      <c r="C41" s="102">
        <v>1080583929</v>
      </c>
      <c r="D41" s="102" t="s">
        <v>265</v>
      </c>
      <c r="E41" s="108" t="s">
        <v>1379</v>
      </c>
      <c r="F41" s="104" t="s">
        <v>135</v>
      </c>
      <c r="G41" s="105">
        <v>41726</v>
      </c>
      <c r="H41" s="105">
        <v>41810</v>
      </c>
      <c r="I41" s="155">
        <f t="shared" ca="1" si="2"/>
        <v>-96</v>
      </c>
      <c r="J41" s="105" t="s">
        <v>89</v>
      </c>
      <c r="K41" s="105">
        <v>41736</v>
      </c>
      <c r="L41" s="105" t="s">
        <v>89</v>
      </c>
      <c r="M41" s="105" t="s">
        <v>89</v>
      </c>
      <c r="N41" s="105" t="s">
        <v>136</v>
      </c>
      <c r="O41" s="105" t="s">
        <v>1067</v>
      </c>
      <c r="P41" s="105"/>
      <c r="Q41" s="108"/>
      <c r="R41" s="102"/>
    </row>
    <row r="42" spans="1:18" s="20" customFormat="1" ht="75" x14ac:dyDescent="0.2">
      <c r="A42" s="109" t="s">
        <v>1374</v>
      </c>
      <c r="B42" s="102">
        <v>1080584764</v>
      </c>
      <c r="C42" s="102">
        <v>1080582505</v>
      </c>
      <c r="D42" s="102" t="s">
        <v>265</v>
      </c>
      <c r="E42" s="108" t="s">
        <v>1380</v>
      </c>
      <c r="F42" s="104" t="s">
        <v>1381</v>
      </c>
      <c r="G42" s="105">
        <v>41728</v>
      </c>
      <c r="H42" s="105">
        <v>41813</v>
      </c>
      <c r="I42" s="155">
        <f t="shared" ca="1" si="2"/>
        <v>-95</v>
      </c>
      <c r="J42" s="105">
        <v>41675</v>
      </c>
      <c r="K42" s="105" t="s">
        <v>89</v>
      </c>
      <c r="L42" s="105" t="s">
        <v>89</v>
      </c>
      <c r="M42" s="105" t="s">
        <v>89</v>
      </c>
      <c r="N42" s="105" t="s">
        <v>136</v>
      </c>
      <c r="O42" s="105" t="s">
        <v>1067</v>
      </c>
      <c r="P42" s="105"/>
      <c r="Q42" s="108"/>
      <c r="R42" s="102"/>
    </row>
    <row r="43" spans="1:18" s="20" customFormat="1" ht="90" x14ac:dyDescent="0.2">
      <c r="A43" s="109" t="s">
        <v>1376</v>
      </c>
      <c r="B43" s="102">
        <v>1080584766</v>
      </c>
      <c r="C43" s="102">
        <v>1080583458</v>
      </c>
      <c r="D43" s="102" t="s">
        <v>1122</v>
      </c>
      <c r="E43" s="108" t="s">
        <v>1383</v>
      </c>
      <c r="F43" s="104" t="s">
        <v>167</v>
      </c>
      <c r="G43" s="105">
        <v>41728</v>
      </c>
      <c r="H43" s="105">
        <v>41813</v>
      </c>
      <c r="I43" s="155">
        <f t="shared" ca="1" si="2"/>
        <v>-95</v>
      </c>
      <c r="J43" s="105">
        <v>41731</v>
      </c>
      <c r="K43" s="105">
        <v>41800</v>
      </c>
      <c r="L43" s="105" t="s">
        <v>89</v>
      </c>
      <c r="M43" s="105" t="s">
        <v>89</v>
      </c>
      <c r="N43" s="105" t="s">
        <v>99</v>
      </c>
      <c r="O43" s="105" t="s">
        <v>207</v>
      </c>
      <c r="P43" s="105"/>
      <c r="Q43" s="108"/>
      <c r="R43" s="102"/>
    </row>
    <row r="44" spans="1:18" s="20" customFormat="1" ht="120" x14ac:dyDescent="0.2">
      <c r="A44" s="109" t="s">
        <v>1395</v>
      </c>
      <c r="B44" s="102">
        <v>1080584837</v>
      </c>
      <c r="C44" s="102">
        <v>1080583945</v>
      </c>
      <c r="D44" s="102" t="s">
        <v>201</v>
      </c>
      <c r="E44" s="108" t="s">
        <v>1398</v>
      </c>
      <c r="F44" s="104" t="s">
        <v>111</v>
      </c>
      <c r="G44" s="105">
        <v>41737</v>
      </c>
      <c r="H44" s="105">
        <v>41821</v>
      </c>
      <c r="I44" s="155">
        <f t="shared" ref="I44:I58" ca="1" si="3">IF(H44&lt;&gt;0,NETWORKDAYS(TODAY(),H44),"")</f>
        <v>-89</v>
      </c>
      <c r="J44" s="105" t="s">
        <v>89</v>
      </c>
      <c r="K44" s="105">
        <v>41916</v>
      </c>
      <c r="L44" s="105" t="s">
        <v>1399</v>
      </c>
      <c r="M44" s="105" t="s">
        <v>89</v>
      </c>
      <c r="N44" s="105" t="s">
        <v>113</v>
      </c>
      <c r="O44" s="105" t="s">
        <v>207</v>
      </c>
      <c r="P44" s="105"/>
      <c r="Q44" s="108"/>
      <c r="R44" s="102"/>
    </row>
    <row r="45" spans="1:18" s="20" customFormat="1" ht="195" x14ac:dyDescent="0.2">
      <c r="A45" s="109" t="s">
        <v>1400</v>
      </c>
      <c r="B45" s="102">
        <v>1080584870</v>
      </c>
      <c r="C45" s="102">
        <v>1080583656</v>
      </c>
      <c r="D45" s="102" t="s">
        <v>1119</v>
      </c>
      <c r="E45" s="108" t="s">
        <v>1402</v>
      </c>
      <c r="F45" s="104" t="s">
        <v>1192</v>
      </c>
      <c r="G45" s="105">
        <v>41742</v>
      </c>
      <c r="H45" s="105">
        <v>41880</v>
      </c>
      <c r="I45" s="155">
        <f t="shared" ca="1" si="3"/>
        <v>-46</v>
      </c>
      <c r="J45" s="105" t="s">
        <v>89</v>
      </c>
      <c r="K45" s="105" t="s">
        <v>98</v>
      </c>
      <c r="L45" s="105" t="s">
        <v>171</v>
      </c>
      <c r="M45" s="105" t="s">
        <v>89</v>
      </c>
      <c r="N45" s="105" t="s">
        <v>99</v>
      </c>
      <c r="O45" s="105" t="s">
        <v>207</v>
      </c>
      <c r="P45" s="105"/>
      <c r="Q45" s="108"/>
      <c r="R45" s="102"/>
    </row>
    <row r="46" spans="1:18" s="20" customFormat="1" ht="90" x14ac:dyDescent="0.2">
      <c r="A46" s="109" t="s">
        <v>1405</v>
      </c>
      <c r="B46" s="102">
        <v>1080584886</v>
      </c>
      <c r="C46" s="102">
        <v>1080584034</v>
      </c>
      <c r="D46" s="102" t="s">
        <v>139</v>
      </c>
      <c r="E46" s="108" t="s">
        <v>1412</v>
      </c>
      <c r="F46" s="104" t="s">
        <v>140</v>
      </c>
      <c r="G46" s="105">
        <v>41745</v>
      </c>
      <c r="H46" s="105">
        <v>41939</v>
      </c>
      <c r="I46" s="155">
        <f t="shared" ca="1" si="3"/>
        <v>-5</v>
      </c>
      <c r="J46" s="105">
        <v>41750</v>
      </c>
      <c r="K46" s="105">
        <v>41912</v>
      </c>
      <c r="L46" s="105">
        <v>41912</v>
      </c>
      <c r="M46" s="105" t="s">
        <v>89</v>
      </c>
      <c r="N46" s="105">
        <v>41928</v>
      </c>
      <c r="O46" s="105" t="s">
        <v>1067</v>
      </c>
      <c r="P46" s="105"/>
      <c r="Q46" s="108"/>
      <c r="R46" s="102"/>
    </row>
    <row r="47" spans="1:18" s="20" customFormat="1" ht="180" x14ac:dyDescent="0.2">
      <c r="A47" s="109" t="s">
        <v>1404</v>
      </c>
      <c r="B47" s="102">
        <v>1080584900</v>
      </c>
      <c r="C47" s="102" t="s">
        <v>1410</v>
      </c>
      <c r="D47" s="102" t="s">
        <v>479</v>
      </c>
      <c r="E47" s="108" t="s">
        <v>1411</v>
      </c>
      <c r="F47" s="104" t="s">
        <v>215</v>
      </c>
      <c r="G47" s="105">
        <v>41745</v>
      </c>
      <c r="H47" s="105">
        <v>41829</v>
      </c>
      <c r="I47" s="155">
        <f t="shared" ca="1" si="3"/>
        <v>-83</v>
      </c>
      <c r="J47" s="105" t="s">
        <v>89</v>
      </c>
      <c r="K47" s="105">
        <v>41660</v>
      </c>
      <c r="L47" s="105" t="s">
        <v>89</v>
      </c>
      <c r="M47" s="105" t="s">
        <v>89</v>
      </c>
      <c r="N47" s="105" t="s">
        <v>94</v>
      </c>
      <c r="O47" s="105" t="s">
        <v>89</v>
      </c>
      <c r="P47" s="105"/>
      <c r="Q47" s="108"/>
      <c r="R47" s="102"/>
    </row>
    <row r="48" spans="1:18" s="20" customFormat="1" ht="90" x14ac:dyDescent="0.2">
      <c r="A48" s="181" t="s">
        <v>1414</v>
      </c>
      <c r="B48" s="182">
        <v>1080584919</v>
      </c>
      <c r="C48" s="182">
        <v>1080584123</v>
      </c>
      <c r="D48" s="182" t="s">
        <v>677</v>
      </c>
      <c r="E48" s="183" t="s">
        <v>1415</v>
      </c>
      <c r="F48" s="184" t="s">
        <v>244</v>
      </c>
      <c r="G48" s="185">
        <v>41749</v>
      </c>
      <c r="H48" s="185">
        <v>41852</v>
      </c>
      <c r="I48" s="186">
        <f t="shared" ca="1" si="3"/>
        <v>-66</v>
      </c>
      <c r="J48" s="185" t="s">
        <v>89</v>
      </c>
      <c r="K48" s="185" t="s">
        <v>89</v>
      </c>
      <c r="L48" s="185" t="s">
        <v>89</v>
      </c>
      <c r="M48" s="185" t="s">
        <v>89</v>
      </c>
      <c r="N48" s="185">
        <v>41878</v>
      </c>
      <c r="O48" s="185" t="s">
        <v>89</v>
      </c>
      <c r="P48" s="185" t="s">
        <v>128</v>
      </c>
      <c r="Q48" s="183" t="s">
        <v>1705</v>
      </c>
      <c r="R48" s="182"/>
    </row>
    <row r="49" spans="1:18" s="20" customFormat="1" ht="75" x14ac:dyDescent="0.2">
      <c r="A49" s="109" t="s">
        <v>1421</v>
      </c>
      <c r="B49" s="102">
        <v>1080584963</v>
      </c>
      <c r="C49" s="102">
        <v>1080584551</v>
      </c>
      <c r="D49" s="102" t="s">
        <v>677</v>
      </c>
      <c r="E49" s="108" t="s">
        <v>1425</v>
      </c>
      <c r="F49" s="104" t="s">
        <v>679</v>
      </c>
      <c r="G49" s="105">
        <v>41756</v>
      </c>
      <c r="H49" s="105">
        <v>41859</v>
      </c>
      <c r="I49" s="155">
        <f t="shared" ca="1" si="3"/>
        <v>-61</v>
      </c>
      <c r="J49" s="105" t="s">
        <v>89</v>
      </c>
      <c r="K49" s="105">
        <v>41921</v>
      </c>
      <c r="L49" s="105" t="s">
        <v>171</v>
      </c>
      <c r="M49" s="105" t="s">
        <v>89</v>
      </c>
      <c r="N49" s="105" t="s">
        <v>1048</v>
      </c>
      <c r="O49" s="105" t="s">
        <v>153</v>
      </c>
      <c r="P49" s="105"/>
      <c r="Q49" s="108"/>
      <c r="R49" s="102"/>
    </row>
    <row r="50" spans="1:18" s="20" customFormat="1" ht="270" x14ac:dyDescent="0.2">
      <c r="A50" s="109" t="s">
        <v>1423</v>
      </c>
      <c r="B50" s="102">
        <v>1080584965</v>
      </c>
      <c r="C50" s="102">
        <v>1080584551</v>
      </c>
      <c r="D50" s="102" t="s">
        <v>1010</v>
      </c>
      <c r="E50" s="108" t="s">
        <v>1427</v>
      </c>
      <c r="F50" s="104" t="s">
        <v>111</v>
      </c>
      <c r="G50" s="105">
        <v>41756</v>
      </c>
      <c r="H50" s="105">
        <v>41859</v>
      </c>
      <c r="I50" s="155">
        <f t="shared" ca="1" si="3"/>
        <v>-61</v>
      </c>
      <c r="J50" s="105" t="s">
        <v>1558</v>
      </c>
      <c r="K50" s="105">
        <v>41794</v>
      </c>
      <c r="L50" s="105">
        <v>41866</v>
      </c>
      <c r="M50" s="105" t="s">
        <v>89</v>
      </c>
      <c r="N50" s="105" t="s">
        <v>104</v>
      </c>
      <c r="O50" s="105" t="s">
        <v>207</v>
      </c>
      <c r="P50" s="105"/>
      <c r="Q50" s="108"/>
      <c r="R50" s="102"/>
    </row>
    <row r="51" spans="1:18" s="20" customFormat="1" ht="120" x14ac:dyDescent="0.2">
      <c r="A51" s="109" t="s">
        <v>1433</v>
      </c>
      <c r="B51" s="102">
        <v>1080585056</v>
      </c>
      <c r="C51" s="102">
        <v>1080584401</v>
      </c>
      <c r="D51" s="102" t="s">
        <v>118</v>
      </c>
      <c r="E51" s="108" t="s">
        <v>1435</v>
      </c>
      <c r="F51" s="104" t="s">
        <v>215</v>
      </c>
      <c r="G51" s="105">
        <v>41767</v>
      </c>
      <c r="H51" s="105">
        <v>41851</v>
      </c>
      <c r="I51" s="155">
        <f t="shared" ca="1" si="3"/>
        <v>-67</v>
      </c>
      <c r="J51" s="105" t="s">
        <v>89</v>
      </c>
      <c r="K51" s="105">
        <v>41773</v>
      </c>
      <c r="L51" s="105" t="s">
        <v>89</v>
      </c>
      <c r="M51" s="105" t="s">
        <v>89</v>
      </c>
      <c r="N51" s="105">
        <v>41768</v>
      </c>
      <c r="O51" s="105" t="s">
        <v>1458</v>
      </c>
      <c r="P51" s="105"/>
      <c r="Q51" s="108"/>
      <c r="R51" s="102"/>
    </row>
    <row r="52" spans="1:18" s="20" customFormat="1" ht="210" x14ac:dyDescent="0.2">
      <c r="A52" s="109" t="s">
        <v>1438</v>
      </c>
      <c r="B52" s="102">
        <v>1080585097</v>
      </c>
      <c r="C52" s="102">
        <v>1080584630</v>
      </c>
      <c r="D52" s="102" t="s">
        <v>201</v>
      </c>
      <c r="E52" s="108" t="s">
        <v>1439</v>
      </c>
      <c r="F52" s="104" t="s">
        <v>294</v>
      </c>
      <c r="G52" s="105">
        <v>41774</v>
      </c>
      <c r="H52" s="105">
        <v>41859</v>
      </c>
      <c r="I52" s="155">
        <f t="shared" ca="1" si="3"/>
        <v>-61</v>
      </c>
      <c r="J52" s="105">
        <v>41775</v>
      </c>
      <c r="K52" s="105">
        <v>41928</v>
      </c>
      <c r="L52" s="105">
        <v>41775</v>
      </c>
      <c r="M52" s="105" t="s">
        <v>89</v>
      </c>
      <c r="N52" s="105" t="s">
        <v>1628</v>
      </c>
      <c r="O52" s="105" t="s">
        <v>1459</v>
      </c>
      <c r="P52" s="105"/>
      <c r="Q52" s="108"/>
      <c r="R52" s="102"/>
    </row>
    <row r="53" spans="1:18" s="20" customFormat="1" ht="135" x14ac:dyDescent="0.2">
      <c r="A53" s="109" t="s">
        <v>1441</v>
      </c>
      <c r="B53" s="102">
        <v>1080585110</v>
      </c>
      <c r="C53" s="102">
        <v>1080584058</v>
      </c>
      <c r="D53" s="102" t="s">
        <v>201</v>
      </c>
      <c r="E53" s="108" t="s">
        <v>1450</v>
      </c>
      <c r="F53" s="104" t="s">
        <v>294</v>
      </c>
      <c r="G53" s="105">
        <v>41777</v>
      </c>
      <c r="H53" s="105">
        <v>41862</v>
      </c>
      <c r="I53" s="155">
        <f t="shared" ca="1" si="3"/>
        <v>-60</v>
      </c>
      <c r="J53" s="105">
        <v>41775</v>
      </c>
      <c r="K53" s="105">
        <v>41928</v>
      </c>
      <c r="L53" s="105" t="s">
        <v>1469</v>
      </c>
      <c r="M53" s="105" t="s">
        <v>89</v>
      </c>
      <c r="N53" s="105" t="s">
        <v>1629</v>
      </c>
      <c r="O53" s="105" t="s">
        <v>1467</v>
      </c>
      <c r="P53" s="105"/>
      <c r="Q53" s="108"/>
      <c r="R53" s="102"/>
    </row>
    <row r="54" spans="1:18" s="20" customFormat="1" ht="195" x14ac:dyDescent="0.2">
      <c r="A54" s="109" t="s">
        <v>1442</v>
      </c>
      <c r="B54" s="102">
        <v>1080585111</v>
      </c>
      <c r="C54" s="102">
        <v>1080584058</v>
      </c>
      <c r="D54" s="102" t="s">
        <v>201</v>
      </c>
      <c r="E54" s="108" t="s">
        <v>1451</v>
      </c>
      <c r="F54" s="104" t="s">
        <v>294</v>
      </c>
      <c r="G54" s="105">
        <v>41777</v>
      </c>
      <c r="H54" s="105">
        <v>41869</v>
      </c>
      <c r="I54" s="155">
        <f t="shared" ca="1" si="3"/>
        <v>-55</v>
      </c>
      <c r="J54" s="105">
        <v>41775</v>
      </c>
      <c r="K54" s="105">
        <v>41941</v>
      </c>
      <c r="L54" s="105" t="s">
        <v>89</v>
      </c>
      <c r="M54" s="105" t="s">
        <v>89</v>
      </c>
      <c r="N54" s="105" t="s">
        <v>1629</v>
      </c>
      <c r="O54" s="105" t="s">
        <v>1468</v>
      </c>
      <c r="P54" s="105"/>
      <c r="Q54" s="108"/>
      <c r="R54" s="102"/>
    </row>
    <row r="55" spans="1:18" s="20" customFormat="1" ht="105" x14ac:dyDescent="0.2">
      <c r="A55" s="109" t="s">
        <v>1452</v>
      </c>
      <c r="B55" s="102">
        <v>1080585124</v>
      </c>
      <c r="C55" s="102" t="s">
        <v>1455</v>
      </c>
      <c r="D55" s="102" t="s">
        <v>118</v>
      </c>
      <c r="E55" s="108" t="s">
        <v>1456</v>
      </c>
      <c r="F55" s="104" t="s">
        <v>1457</v>
      </c>
      <c r="G55" s="105">
        <v>41779</v>
      </c>
      <c r="H55" s="105">
        <v>41848</v>
      </c>
      <c r="I55" s="155">
        <f t="shared" ca="1" si="3"/>
        <v>-70</v>
      </c>
      <c r="J55" s="105" t="s">
        <v>89</v>
      </c>
      <c r="K55" s="105">
        <v>41915</v>
      </c>
      <c r="L55" s="105" t="s">
        <v>89</v>
      </c>
      <c r="M55" s="105" t="s">
        <v>89</v>
      </c>
      <c r="N55" s="105" t="s">
        <v>1460</v>
      </c>
      <c r="O55" s="105" t="s">
        <v>1461</v>
      </c>
      <c r="P55" s="105"/>
      <c r="Q55" s="108"/>
      <c r="R55" s="102"/>
    </row>
    <row r="56" spans="1:18" s="20" customFormat="1" ht="90" x14ac:dyDescent="0.2">
      <c r="A56" s="181" t="s">
        <v>1472</v>
      </c>
      <c r="B56" s="182">
        <v>1080585203</v>
      </c>
      <c r="C56" s="182">
        <v>1080584497</v>
      </c>
      <c r="D56" s="182" t="s">
        <v>1649</v>
      </c>
      <c r="E56" s="183" t="s">
        <v>1480</v>
      </c>
      <c r="F56" s="184" t="s">
        <v>244</v>
      </c>
      <c r="G56" s="185">
        <v>41791</v>
      </c>
      <c r="H56" s="185">
        <v>41887</v>
      </c>
      <c r="I56" s="186">
        <f t="shared" ca="1" si="3"/>
        <v>-41</v>
      </c>
      <c r="J56" s="185" t="s">
        <v>89</v>
      </c>
      <c r="K56" s="185" t="s">
        <v>89</v>
      </c>
      <c r="L56" s="185" t="s">
        <v>89</v>
      </c>
      <c r="M56" s="185" t="s">
        <v>89</v>
      </c>
      <c r="N56" s="185">
        <v>41926</v>
      </c>
      <c r="O56" s="185" t="s">
        <v>89</v>
      </c>
      <c r="P56" s="185" t="s">
        <v>128</v>
      </c>
      <c r="Q56" s="183" t="s">
        <v>1722</v>
      </c>
      <c r="R56" s="182"/>
    </row>
    <row r="57" spans="1:18" s="20" customFormat="1" ht="150" x14ac:dyDescent="0.2">
      <c r="A57" s="109" t="s">
        <v>1481</v>
      </c>
      <c r="B57" s="102">
        <v>1080585222</v>
      </c>
      <c r="C57" s="102">
        <v>1080584224</v>
      </c>
      <c r="D57" s="102" t="s">
        <v>1650</v>
      </c>
      <c r="E57" s="108" t="s">
        <v>1485</v>
      </c>
      <c r="F57" s="104" t="s">
        <v>315</v>
      </c>
      <c r="G57" s="105">
        <v>41794</v>
      </c>
      <c r="H57" s="105">
        <v>41859</v>
      </c>
      <c r="I57" s="155">
        <f t="shared" ca="1" si="3"/>
        <v>-61</v>
      </c>
      <c r="J57" s="105" t="s">
        <v>89</v>
      </c>
      <c r="K57" s="105" t="s">
        <v>1488</v>
      </c>
      <c r="L57" s="105" t="s">
        <v>89</v>
      </c>
      <c r="M57" s="105" t="s">
        <v>89</v>
      </c>
      <c r="N57" s="105" t="s">
        <v>1489</v>
      </c>
      <c r="O57" s="105" t="s">
        <v>89</v>
      </c>
      <c r="P57" s="105"/>
      <c r="Q57" s="108"/>
      <c r="R57" s="102"/>
    </row>
    <row r="58" spans="1:18" s="20" customFormat="1" ht="105" x14ac:dyDescent="0.2">
      <c r="A58" s="110" t="s">
        <v>1482</v>
      </c>
      <c r="B58" s="112">
        <v>1080585227</v>
      </c>
      <c r="C58" s="112">
        <v>1080584222</v>
      </c>
      <c r="D58" s="112" t="s">
        <v>201</v>
      </c>
      <c r="E58" s="118" t="s">
        <v>1486</v>
      </c>
      <c r="F58" s="114" t="s">
        <v>294</v>
      </c>
      <c r="G58" s="115">
        <v>41794</v>
      </c>
      <c r="H58" s="115">
        <v>41887</v>
      </c>
      <c r="I58" s="160">
        <f t="shared" ca="1" si="3"/>
        <v>-41</v>
      </c>
      <c r="J58" s="115" t="s">
        <v>89</v>
      </c>
      <c r="K58" s="115" t="s">
        <v>89</v>
      </c>
      <c r="L58" s="115" t="s">
        <v>89</v>
      </c>
      <c r="M58" s="115" t="s">
        <v>89</v>
      </c>
      <c r="N58" s="115">
        <v>41885</v>
      </c>
      <c r="O58" s="115" t="s">
        <v>89</v>
      </c>
      <c r="P58" s="115" t="s">
        <v>128</v>
      </c>
      <c r="Q58" s="118" t="s">
        <v>1706</v>
      </c>
      <c r="R58" s="112"/>
    </row>
    <row r="59" spans="1:18" s="20" customFormat="1" ht="75" x14ac:dyDescent="0.2">
      <c r="A59" s="110" t="s">
        <v>1512</v>
      </c>
      <c r="B59" s="112" t="s">
        <v>1716</v>
      </c>
      <c r="C59" s="112">
        <v>1080584798</v>
      </c>
      <c r="D59" s="112" t="s">
        <v>1203</v>
      </c>
      <c r="E59" s="118" t="s">
        <v>1543</v>
      </c>
      <c r="F59" s="114" t="s">
        <v>1544</v>
      </c>
      <c r="G59" s="115">
        <v>41848</v>
      </c>
      <c r="H59" s="115">
        <v>41890</v>
      </c>
      <c r="I59" s="160">
        <f t="shared" ref="I59:I61" ca="1" si="4">IF(H59&lt;&gt;0,NETWORKDAYS(TODAY(),H59),"")</f>
        <v>-40</v>
      </c>
      <c r="J59" s="115" t="s">
        <v>89</v>
      </c>
      <c r="K59" s="115" t="s">
        <v>89</v>
      </c>
      <c r="L59" s="115" t="s">
        <v>89</v>
      </c>
      <c r="M59" s="115" t="s">
        <v>89</v>
      </c>
      <c r="N59" s="115">
        <v>41926</v>
      </c>
      <c r="O59" s="115" t="s">
        <v>89</v>
      </c>
      <c r="P59" s="115" t="s">
        <v>128</v>
      </c>
      <c r="Q59" s="118" t="s">
        <v>1747</v>
      </c>
      <c r="R59" s="112"/>
    </row>
    <row r="60" spans="1:18" s="20" customFormat="1" ht="240" x14ac:dyDescent="0.2">
      <c r="A60" s="109" t="s">
        <v>1514</v>
      </c>
      <c r="B60" s="102" t="s">
        <v>1679</v>
      </c>
      <c r="C60" s="102">
        <v>1080584624</v>
      </c>
      <c r="D60" s="102" t="s">
        <v>1645</v>
      </c>
      <c r="E60" s="108" t="s">
        <v>1546</v>
      </c>
      <c r="F60" s="104" t="s">
        <v>244</v>
      </c>
      <c r="G60" s="105">
        <v>41861</v>
      </c>
      <c r="H60" s="105">
        <v>41936</v>
      </c>
      <c r="I60" s="155">
        <f t="shared" ca="1" si="4"/>
        <v>-6</v>
      </c>
      <c r="J60" s="105">
        <v>41912</v>
      </c>
      <c r="K60" s="105" t="s">
        <v>1568</v>
      </c>
      <c r="L60" s="105" t="s">
        <v>1569</v>
      </c>
      <c r="M60" s="105" t="s">
        <v>89</v>
      </c>
      <c r="N60" s="105" t="s">
        <v>1570</v>
      </c>
      <c r="O60" s="105" t="s">
        <v>1571</v>
      </c>
      <c r="P60" s="105"/>
      <c r="Q60" s="108"/>
      <c r="R60" s="102"/>
    </row>
    <row r="61" spans="1:18" s="20" customFormat="1" ht="75" x14ac:dyDescent="0.2">
      <c r="A61" s="119" t="s">
        <v>1519</v>
      </c>
      <c r="B61" s="16" t="s">
        <v>1703</v>
      </c>
      <c r="C61" s="16">
        <v>1080584801</v>
      </c>
      <c r="D61" s="16" t="s">
        <v>134</v>
      </c>
      <c r="E61" s="96" t="s">
        <v>1551</v>
      </c>
      <c r="F61" s="120" t="s">
        <v>184</v>
      </c>
      <c r="G61" s="19">
        <v>41857</v>
      </c>
      <c r="H61" s="19">
        <v>41939</v>
      </c>
      <c r="I61" s="24">
        <f t="shared" ca="1" si="4"/>
        <v>-5</v>
      </c>
      <c r="J61" s="19" t="s">
        <v>89</v>
      </c>
      <c r="K61" s="19" t="s">
        <v>89</v>
      </c>
      <c r="L61" s="19" t="s">
        <v>1710</v>
      </c>
      <c r="M61" s="19" t="s">
        <v>89</v>
      </c>
      <c r="N61" s="19" t="s">
        <v>1711</v>
      </c>
      <c r="O61" s="19" t="s">
        <v>89</v>
      </c>
      <c r="P61" s="19"/>
      <c r="Q61" s="96"/>
      <c r="R61" s="16"/>
    </row>
  </sheetData>
  <conditionalFormatting sqref="I2">
    <cfRule type="expression" dxfId="435" priority="60">
      <formula>$I2&lt;0</formula>
    </cfRule>
  </conditionalFormatting>
  <conditionalFormatting sqref="I3">
    <cfRule type="expression" dxfId="434" priority="59">
      <formula>$I3&lt;0</formula>
    </cfRule>
  </conditionalFormatting>
  <conditionalFormatting sqref="I4">
    <cfRule type="expression" dxfId="433" priority="58">
      <formula>$I4&lt;0</formula>
    </cfRule>
  </conditionalFormatting>
  <conditionalFormatting sqref="I5">
    <cfRule type="expression" dxfId="432" priority="57">
      <formula>$I5&lt;0</formula>
    </cfRule>
  </conditionalFormatting>
  <conditionalFormatting sqref="I6">
    <cfRule type="expression" dxfId="431" priority="56">
      <formula>$I6&lt;0</formula>
    </cfRule>
  </conditionalFormatting>
  <conditionalFormatting sqref="I7">
    <cfRule type="expression" dxfId="430" priority="55">
      <formula>$I7&lt;0</formula>
    </cfRule>
  </conditionalFormatting>
  <conditionalFormatting sqref="I8">
    <cfRule type="expression" dxfId="429" priority="54">
      <formula>$I8&lt;0</formula>
    </cfRule>
  </conditionalFormatting>
  <conditionalFormatting sqref="I9">
    <cfRule type="expression" dxfId="428" priority="53">
      <formula>$I9&lt;0</formula>
    </cfRule>
  </conditionalFormatting>
  <conditionalFormatting sqref="I10">
    <cfRule type="expression" dxfId="427" priority="52">
      <formula>$I10&lt;0</formula>
    </cfRule>
  </conditionalFormatting>
  <conditionalFormatting sqref="I11">
    <cfRule type="expression" dxfId="426" priority="51">
      <formula>$I11&lt;0</formula>
    </cfRule>
  </conditionalFormatting>
  <conditionalFormatting sqref="I12">
    <cfRule type="expression" dxfId="425" priority="50">
      <formula>$I12&lt;0</formula>
    </cfRule>
  </conditionalFormatting>
  <conditionalFormatting sqref="I13">
    <cfRule type="expression" dxfId="424" priority="49">
      <formula>$I13&lt;0</formula>
    </cfRule>
  </conditionalFormatting>
  <conditionalFormatting sqref="I14">
    <cfRule type="expression" dxfId="423" priority="48">
      <formula>$I14&lt;0</formula>
    </cfRule>
  </conditionalFormatting>
  <conditionalFormatting sqref="I15">
    <cfRule type="expression" dxfId="422" priority="47">
      <formula>$I15&lt;0</formula>
    </cfRule>
  </conditionalFormatting>
  <conditionalFormatting sqref="I16">
    <cfRule type="expression" dxfId="421" priority="46">
      <formula>$I16&lt;0</formula>
    </cfRule>
  </conditionalFormatting>
  <conditionalFormatting sqref="I17">
    <cfRule type="expression" dxfId="420" priority="45">
      <formula>$I17&lt;0</formula>
    </cfRule>
  </conditionalFormatting>
  <conditionalFormatting sqref="I18">
    <cfRule type="expression" dxfId="419" priority="44">
      <formula>$I18&lt;0</formula>
    </cfRule>
  </conditionalFormatting>
  <conditionalFormatting sqref="I19">
    <cfRule type="expression" dxfId="418" priority="43">
      <formula>$I19&lt;0</formula>
    </cfRule>
  </conditionalFormatting>
  <conditionalFormatting sqref="I20">
    <cfRule type="expression" dxfId="417" priority="42">
      <formula>$I20&lt;0</formula>
    </cfRule>
  </conditionalFormatting>
  <conditionalFormatting sqref="I21">
    <cfRule type="expression" dxfId="416" priority="41">
      <formula>$I21&lt;0</formula>
    </cfRule>
  </conditionalFormatting>
  <conditionalFormatting sqref="I22">
    <cfRule type="expression" dxfId="415" priority="40">
      <formula>$I22&lt;0</formula>
    </cfRule>
  </conditionalFormatting>
  <conditionalFormatting sqref="I23">
    <cfRule type="expression" dxfId="414" priority="39">
      <formula>$I23&lt;0</formula>
    </cfRule>
  </conditionalFormatting>
  <conditionalFormatting sqref="I24">
    <cfRule type="expression" dxfId="413" priority="38">
      <formula>$I24&lt;0</formula>
    </cfRule>
  </conditionalFormatting>
  <conditionalFormatting sqref="I25">
    <cfRule type="expression" dxfId="412" priority="37">
      <formula>$I25&lt;0</formula>
    </cfRule>
  </conditionalFormatting>
  <conditionalFormatting sqref="I26">
    <cfRule type="expression" dxfId="411" priority="36">
      <formula>$I26&lt;0</formula>
    </cfRule>
  </conditionalFormatting>
  <conditionalFormatting sqref="I27">
    <cfRule type="expression" dxfId="410" priority="35">
      <formula>$I27&lt;0</formula>
    </cfRule>
  </conditionalFormatting>
  <conditionalFormatting sqref="I28">
    <cfRule type="expression" dxfId="409" priority="34">
      <formula>$I28&lt;0</formula>
    </cfRule>
  </conditionalFormatting>
  <conditionalFormatting sqref="I29">
    <cfRule type="expression" dxfId="408" priority="33">
      <formula>$I29&lt;0</formula>
    </cfRule>
  </conditionalFormatting>
  <conditionalFormatting sqref="I30">
    <cfRule type="expression" dxfId="407" priority="32">
      <formula>$I30&lt;0</formula>
    </cfRule>
  </conditionalFormatting>
  <conditionalFormatting sqref="I31">
    <cfRule type="expression" dxfId="406" priority="31">
      <formula>$I31&lt;0</formula>
    </cfRule>
  </conditionalFormatting>
  <conditionalFormatting sqref="I32">
    <cfRule type="expression" dxfId="405" priority="30">
      <formula>$I32&lt;0</formula>
    </cfRule>
  </conditionalFormatting>
  <conditionalFormatting sqref="I33">
    <cfRule type="expression" dxfId="404" priority="29">
      <formula>$I33&lt;0</formula>
    </cfRule>
  </conditionalFormatting>
  <conditionalFormatting sqref="I34">
    <cfRule type="expression" dxfId="403" priority="28">
      <formula>$I34&lt;0</formula>
    </cfRule>
  </conditionalFormatting>
  <conditionalFormatting sqref="I35">
    <cfRule type="expression" dxfId="402" priority="27">
      <formula>$I35&lt;0</formula>
    </cfRule>
  </conditionalFormatting>
  <conditionalFormatting sqref="I36">
    <cfRule type="expression" dxfId="401" priority="26">
      <formula>$I36&lt;0</formula>
    </cfRule>
  </conditionalFormatting>
  <conditionalFormatting sqref="I37">
    <cfRule type="expression" dxfId="400" priority="25">
      <formula>$I37&lt;0</formula>
    </cfRule>
  </conditionalFormatting>
  <conditionalFormatting sqref="I38">
    <cfRule type="expression" dxfId="399" priority="24">
      <formula>$I38&lt;0</formula>
    </cfRule>
  </conditionalFormatting>
  <conditionalFormatting sqref="I39">
    <cfRule type="expression" dxfId="398" priority="23">
      <formula>$I39&lt;0</formula>
    </cfRule>
  </conditionalFormatting>
  <conditionalFormatting sqref="I40">
    <cfRule type="expression" dxfId="397" priority="22">
      <formula>$I40&lt;0</formula>
    </cfRule>
  </conditionalFormatting>
  <conditionalFormatting sqref="I41">
    <cfRule type="expression" dxfId="396" priority="21">
      <formula>$I41&lt;0</formula>
    </cfRule>
  </conditionalFormatting>
  <conditionalFormatting sqref="I42">
    <cfRule type="expression" dxfId="395" priority="20">
      <formula>$I42&lt;0</formula>
    </cfRule>
  </conditionalFormatting>
  <conditionalFormatting sqref="I43">
    <cfRule type="expression" dxfId="394" priority="19">
      <formula>$I43&lt;0</formula>
    </cfRule>
  </conditionalFormatting>
  <conditionalFormatting sqref="I44">
    <cfRule type="expression" dxfId="393" priority="18">
      <formula>$I44&lt;0</formula>
    </cfRule>
  </conditionalFormatting>
  <conditionalFormatting sqref="I45">
    <cfRule type="expression" dxfId="392" priority="17">
      <formula>$I45&lt;0</formula>
    </cfRule>
  </conditionalFormatting>
  <conditionalFormatting sqref="I46">
    <cfRule type="expression" dxfId="391" priority="16">
      <formula>$I46&lt;0</formula>
    </cfRule>
  </conditionalFormatting>
  <conditionalFormatting sqref="I47">
    <cfRule type="expression" dxfId="390" priority="15">
      <formula>$I47&lt;0</formula>
    </cfRule>
  </conditionalFormatting>
  <conditionalFormatting sqref="I48">
    <cfRule type="expression" dxfId="389" priority="14">
      <formula>$I48&lt;0</formula>
    </cfRule>
  </conditionalFormatting>
  <conditionalFormatting sqref="I49">
    <cfRule type="expression" dxfId="388" priority="13">
      <formula>$I49&lt;0</formula>
    </cfRule>
  </conditionalFormatting>
  <conditionalFormatting sqref="I50">
    <cfRule type="expression" dxfId="387" priority="12">
      <formula>$I50&lt;0</formula>
    </cfRule>
  </conditionalFormatting>
  <conditionalFormatting sqref="I51">
    <cfRule type="expression" dxfId="386" priority="11">
      <formula>$I51&lt;0</formula>
    </cfRule>
  </conditionalFormatting>
  <conditionalFormatting sqref="I52">
    <cfRule type="expression" dxfId="385" priority="10">
      <formula>$I52&lt;0</formula>
    </cfRule>
  </conditionalFormatting>
  <conditionalFormatting sqref="I53">
    <cfRule type="expression" dxfId="384" priority="9">
      <formula>$I53&lt;0</formula>
    </cfRule>
  </conditionalFormatting>
  <conditionalFormatting sqref="I54">
    <cfRule type="expression" dxfId="383" priority="8">
      <formula>$I54&lt;0</formula>
    </cfRule>
  </conditionalFormatting>
  <conditionalFormatting sqref="I55">
    <cfRule type="expression" dxfId="382" priority="7">
      <formula>$I55&lt;0</formula>
    </cfRule>
  </conditionalFormatting>
  <conditionalFormatting sqref="I56">
    <cfRule type="expression" dxfId="381" priority="6">
      <formula>$I56&lt;0</formula>
    </cfRule>
  </conditionalFormatting>
  <conditionalFormatting sqref="I57">
    <cfRule type="expression" dxfId="380" priority="5">
      <formula>$I57&lt;0</formula>
    </cfRule>
  </conditionalFormatting>
  <conditionalFormatting sqref="I58">
    <cfRule type="expression" dxfId="379" priority="4">
      <formula>$I58&lt;0</formula>
    </cfRule>
  </conditionalFormatting>
  <conditionalFormatting sqref="I59">
    <cfRule type="expression" dxfId="378" priority="3">
      <formula>$I59&lt;0</formula>
    </cfRule>
  </conditionalFormatting>
  <conditionalFormatting sqref="I60">
    <cfRule type="expression" dxfId="377" priority="2">
      <formula>$I60&lt;0</formula>
    </cfRule>
  </conditionalFormatting>
  <conditionalFormatting sqref="I61">
    <cfRule type="expression" dxfId="376" priority="1">
      <formula>$I61&lt;0</formula>
    </cfRule>
  </conditionalFormatting>
  <hyperlinks>
    <hyperlink ref="A2" r:id="rId1"/>
    <hyperlink ref="A3" r:id="rId2"/>
    <hyperlink ref="A4" r:id="rId3"/>
    <hyperlink ref="A5" r:id="rId4"/>
    <hyperlink ref="A6" r:id="rId5"/>
    <hyperlink ref="A7" r:id="rId6"/>
    <hyperlink ref="A8" r:id="rId7"/>
    <hyperlink ref="A9" r:id="rId8"/>
    <hyperlink ref="A10" r:id="rId9"/>
    <hyperlink ref="A11" r:id="rId10"/>
    <hyperlink ref="A12" r:id="rId11"/>
    <hyperlink ref="A13" r:id="rId12"/>
    <hyperlink ref="A14" r:id="rId13"/>
    <hyperlink ref="A15" r:id="rId14"/>
    <hyperlink ref="A16" r:id="rId15"/>
    <hyperlink ref="A17" r:id="rId16"/>
    <hyperlink ref="A18" r:id="rId17"/>
    <hyperlink ref="A19" r:id="rId18"/>
    <hyperlink ref="A20" r:id="rId19"/>
    <hyperlink ref="A21" r:id="rId20"/>
    <hyperlink ref="A22" r:id="rId21"/>
    <hyperlink ref="A23" r:id="rId22"/>
    <hyperlink ref="A24" r:id="rId23"/>
    <hyperlink ref="A25" r:id="rId24"/>
    <hyperlink ref="A26" r:id="rId25"/>
    <hyperlink ref="A27" r:id="rId26"/>
    <hyperlink ref="A28" r:id="rId27"/>
    <hyperlink ref="A29" r:id="rId28"/>
    <hyperlink ref="A30" r:id="rId29"/>
    <hyperlink ref="A31" r:id="rId30"/>
    <hyperlink ref="A32" r:id="rId31"/>
    <hyperlink ref="A33" r:id="rId32"/>
    <hyperlink ref="A34" r:id="rId33"/>
    <hyperlink ref="A35" r:id="rId34"/>
    <hyperlink ref="A36" r:id="rId35"/>
    <hyperlink ref="A37" r:id="rId36"/>
    <hyperlink ref="A38" r:id="rId37"/>
    <hyperlink ref="A39" r:id="rId38"/>
    <hyperlink ref="A40" r:id="rId39"/>
    <hyperlink ref="A41" r:id="rId40"/>
    <hyperlink ref="A42" r:id="rId41"/>
    <hyperlink ref="A43" r:id="rId42"/>
    <hyperlink ref="A44" r:id="rId43"/>
    <hyperlink ref="A45" r:id="rId44"/>
    <hyperlink ref="A46" r:id="rId45"/>
    <hyperlink ref="A47" r:id="rId46"/>
    <hyperlink ref="A48" r:id="rId47"/>
    <hyperlink ref="A49" r:id="rId48"/>
    <hyperlink ref="A50" r:id="rId49"/>
    <hyperlink ref="A51" r:id="rId50"/>
    <hyperlink ref="A52" r:id="rId51"/>
    <hyperlink ref="A53" r:id="rId52"/>
    <hyperlink ref="A54" r:id="rId53"/>
    <hyperlink ref="A55" r:id="rId54"/>
    <hyperlink ref="A56" r:id="rId55"/>
    <hyperlink ref="A57" r:id="rId56"/>
    <hyperlink ref="A58" r:id="rId57"/>
    <hyperlink ref="A59" r:id="rId58"/>
    <hyperlink ref="A60" r:id="rId59"/>
    <hyperlink ref="A61" r:id="rId60"/>
  </hyperlinks>
  <pageMargins left="0.73" right="0.02" top="0.03" bottom="0.41" header="0.01" footer="0.35"/>
  <pageSetup scale="40" orientation="landscape" r:id="rId61"/>
  <headerFooter alignWithMargins="0">
    <oddFooter>&amp;L&amp;A&amp;C&amp;P of &amp;N&amp;Rlast printed on &amp;D</oddFooter>
  </headerFooter>
  <legacyDrawing r:id="rId6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indexed="13"/>
    <pageSetUpPr fitToPage="1"/>
  </sheetPr>
  <dimension ref="A1:R33"/>
  <sheetViews>
    <sheetView zoomScale="75" zoomScaleNormal="50" zoomScaleSheetLayoutView="75" workbookViewId="0">
      <selection activeCell="A33" sqref="A33:XFD33"/>
    </sheetView>
  </sheetViews>
  <sheetFormatPr defaultRowHeight="15" x14ac:dyDescent="0.2"/>
  <cols>
    <col min="1" max="1" width="18" style="1" bestFit="1" customWidth="1"/>
    <col min="2" max="2" width="21.5703125" style="2" customWidth="1"/>
    <col min="3" max="3" width="15.7109375" style="1" customWidth="1"/>
    <col min="4" max="4" width="13.28515625" style="1" customWidth="1"/>
    <col min="5" max="5" width="60.85546875" style="1" customWidth="1"/>
    <col min="6" max="6" width="6.42578125" style="4" customWidth="1"/>
    <col min="7" max="7" width="13.42578125" style="21" customWidth="1"/>
    <col min="8" max="8" width="14.42578125" style="21" customWidth="1"/>
    <col min="9" max="9" width="13.7109375" style="26" customWidth="1"/>
    <col min="10" max="10" width="15" style="97" customWidth="1"/>
    <col min="11" max="11" width="14.5703125" style="97" customWidth="1"/>
    <col min="12" max="12" width="12.140625" style="94" customWidth="1"/>
    <col min="13" max="13" width="16.42578125" style="97" customWidth="1"/>
    <col min="14" max="14" width="14.7109375" style="97" customWidth="1"/>
    <col min="15" max="15" width="14.42578125" style="97" customWidth="1"/>
    <col min="16" max="16" width="11.5703125" style="97" customWidth="1"/>
    <col min="17" max="17" width="44.5703125" style="1" customWidth="1"/>
    <col min="18" max="18" width="6.140625" style="1" bestFit="1" customWidth="1"/>
    <col min="19" max="16384" width="9.140625" style="1"/>
  </cols>
  <sheetData>
    <row r="1" spans="1:18" ht="45" x14ac:dyDescent="0.2">
      <c r="A1" s="16" t="s">
        <v>20</v>
      </c>
      <c r="B1" s="16" t="s">
        <v>47</v>
      </c>
      <c r="C1" s="16" t="s">
        <v>46</v>
      </c>
      <c r="D1" s="96" t="s">
        <v>48</v>
      </c>
      <c r="E1" s="16" t="s">
        <v>9</v>
      </c>
      <c r="F1" s="19" t="s">
        <v>18</v>
      </c>
      <c r="G1" s="19" t="s">
        <v>11</v>
      </c>
      <c r="H1" s="19" t="s">
        <v>10</v>
      </c>
      <c r="I1" s="24" t="s">
        <v>8</v>
      </c>
      <c r="J1" s="22" t="s">
        <v>12</v>
      </c>
      <c r="K1" s="22" t="s">
        <v>15</v>
      </c>
      <c r="L1" s="22" t="s">
        <v>17</v>
      </c>
      <c r="M1" s="19" t="s">
        <v>16</v>
      </c>
      <c r="N1" s="22" t="s">
        <v>13</v>
      </c>
      <c r="O1" s="22" t="s">
        <v>14</v>
      </c>
      <c r="P1" s="19" t="s">
        <v>49</v>
      </c>
      <c r="Q1" s="16" t="s">
        <v>50</v>
      </c>
      <c r="R1" s="25"/>
    </row>
    <row r="2" spans="1:18" s="20" customFormat="1" ht="90" x14ac:dyDescent="0.2">
      <c r="A2" s="110" t="s">
        <v>1606</v>
      </c>
      <c r="B2" s="112">
        <v>400203</v>
      </c>
      <c r="C2" s="112">
        <v>1080585029</v>
      </c>
      <c r="D2" s="112" t="s">
        <v>1233</v>
      </c>
      <c r="E2" s="118" t="s">
        <v>1617</v>
      </c>
      <c r="F2" s="114" t="s">
        <v>639</v>
      </c>
      <c r="G2" s="115">
        <v>41874</v>
      </c>
      <c r="H2" s="115">
        <v>41932</v>
      </c>
      <c r="I2" s="160">
        <f t="shared" ref="I2:I23" ca="1" si="0">IF(H2&lt;&gt;0,NETWORKDAYS(TODAY(),H2),"")</f>
        <v>-10</v>
      </c>
      <c r="J2" s="115" t="s">
        <v>89</v>
      </c>
      <c r="K2" s="115" t="s">
        <v>89</v>
      </c>
      <c r="L2" s="115" t="s">
        <v>89</v>
      </c>
      <c r="M2" s="115" t="s">
        <v>89</v>
      </c>
      <c r="N2" s="115">
        <v>41926</v>
      </c>
      <c r="O2" s="115" t="s">
        <v>89</v>
      </c>
      <c r="P2" s="115" t="s">
        <v>128</v>
      </c>
      <c r="Q2" s="118" t="s">
        <v>1717</v>
      </c>
      <c r="R2" s="112"/>
    </row>
    <row r="3" spans="1:18" s="20" customFormat="1" ht="60" x14ac:dyDescent="0.2">
      <c r="A3" s="165" t="s">
        <v>164</v>
      </c>
      <c r="B3" s="112">
        <v>1080581555</v>
      </c>
      <c r="C3" s="112" t="s">
        <v>1313</v>
      </c>
      <c r="D3" s="112" t="s">
        <v>118</v>
      </c>
      <c r="E3" s="161" t="s">
        <v>903</v>
      </c>
      <c r="F3" s="114" t="s">
        <v>111</v>
      </c>
      <c r="G3" s="115">
        <v>41198</v>
      </c>
      <c r="H3" s="162">
        <v>41687</v>
      </c>
      <c r="I3" s="160">
        <f t="shared" ca="1" si="0"/>
        <v>-185</v>
      </c>
      <c r="J3" s="115">
        <v>41212</v>
      </c>
      <c r="K3" s="115">
        <v>41701</v>
      </c>
      <c r="L3" s="115">
        <v>41330</v>
      </c>
      <c r="M3" s="115" t="s">
        <v>89</v>
      </c>
      <c r="N3" s="115">
        <v>41557</v>
      </c>
      <c r="O3" s="115" t="s">
        <v>89</v>
      </c>
      <c r="P3" s="115" t="s">
        <v>128</v>
      </c>
      <c r="Q3" s="118" t="s">
        <v>1434</v>
      </c>
      <c r="R3" s="112"/>
    </row>
    <row r="4" spans="1:18" s="20" customFormat="1" ht="105" x14ac:dyDescent="0.2">
      <c r="A4" s="165" t="s">
        <v>200</v>
      </c>
      <c r="B4" s="112">
        <v>1080582684</v>
      </c>
      <c r="C4" s="112">
        <v>1080581316</v>
      </c>
      <c r="D4" s="112" t="s">
        <v>201</v>
      </c>
      <c r="E4" s="161" t="s">
        <v>1016</v>
      </c>
      <c r="F4" s="114" t="s">
        <v>111</v>
      </c>
      <c r="G4" s="115">
        <v>41388</v>
      </c>
      <c r="H4" s="162">
        <v>41701</v>
      </c>
      <c r="I4" s="160">
        <f t="shared" ca="1" si="0"/>
        <v>-175</v>
      </c>
      <c r="J4" s="115">
        <v>41668</v>
      </c>
      <c r="K4" s="115">
        <v>41774</v>
      </c>
      <c r="L4" s="115" t="s">
        <v>89</v>
      </c>
      <c r="M4" s="115" t="s">
        <v>89</v>
      </c>
      <c r="N4" s="115">
        <v>41774</v>
      </c>
      <c r="O4" s="115">
        <v>41657</v>
      </c>
      <c r="P4" s="115" t="s">
        <v>128</v>
      </c>
      <c r="Q4" s="118" t="s">
        <v>1752</v>
      </c>
      <c r="R4" s="112"/>
    </row>
    <row r="5" spans="1:18" s="20" customFormat="1" ht="180" x14ac:dyDescent="0.2">
      <c r="A5" s="165" t="s">
        <v>222</v>
      </c>
      <c r="B5" s="112">
        <v>1080582832</v>
      </c>
      <c r="C5" s="112">
        <v>1080580877</v>
      </c>
      <c r="D5" s="112" t="s">
        <v>221</v>
      </c>
      <c r="E5" s="161" t="s">
        <v>1445</v>
      </c>
      <c r="F5" s="114" t="s">
        <v>135</v>
      </c>
      <c r="G5" s="115">
        <v>41409</v>
      </c>
      <c r="H5" s="162">
        <v>41523</v>
      </c>
      <c r="I5" s="160">
        <f t="shared" ca="1" si="0"/>
        <v>-301</v>
      </c>
      <c r="J5" s="115" t="s">
        <v>89</v>
      </c>
      <c r="K5" s="115" t="s">
        <v>89</v>
      </c>
      <c r="L5" s="115" t="s">
        <v>89</v>
      </c>
      <c r="M5" s="115" t="s">
        <v>89</v>
      </c>
      <c r="N5" s="115">
        <v>41774</v>
      </c>
      <c r="O5" s="115" t="s">
        <v>89</v>
      </c>
      <c r="P5" s="115" t="s">
        <v>128</v>
      </c>
      <c r="Q5" s="118" t="s">
        <v>1444</v>
      </c>
      <c r="R5" s="112"/>
    </row>
    <row r="6" spans="1:18" s="20" customFormat="1" ht="300" x14ac:dyDescent="0.2">
      <c r="A6" s="165" t="s">
        <v>226</v>
      </c>
      <c r="B6" s="112">
        <v>1080582861</v>
      </c>
      <c r="C6" s="112">
        <v>1080581370</v>
      </c>
      <c r="D6" s="112" t="s">
        <v>227</v>
      </c>
      <c r="E6" s="161" t="s">
        <v>1263</v>
      </c>
      <c r="F6" s="114" t="s">
        <v>135</v>
      </c>
      <c r="G6" s="115">
        <v>41414</v>
      </c>
      <c r="H6" s="162">
        <v>41523</v>
      </c>
      <c r="I6" s="160">
        <f t="shared" ca="1" si="0"/>
        <v>-301</v>
      </c>
      <c r="J6" s="115" t="s">
        <v>89</v>
      </c>
      <c r="K6" s="115" t="s">
        <v>89</v>
      </c>
      <c r="L6" s="115" t="s">
        <v>89</v>
      </c>
      <c r="M6" s="115" t="s">
        <v>89</v>
      </c>
      <c r="N6" s="115">
        <v>41667</v>
      </c>
      <c r="O6" s="115" t="s">
        <v>89</v>
      </c>
      <c r="P6" s="115" t="s">
        <v>128</v>
      </c>
      <c r="Q6" s="118" t="s">
        <v>1262</v>
      </c>
      <c r="R6" s="112"/>
    </row>
    <row r="7" spans="1:18" s="20" customFormat="1" ht="285" x14ac:dyDescent="0.2">
      <c r="A7" s="165" t="s">
        <v>262</v>
      </c>
      <c r="B7" s="112">
        <v>1080583004</v>
      </c>
      <c r="C7" s="112">
        <v>1080581755</v>
      </c>
      <c r="D7" s="112" t="s">
        <v>122</v>
      </c>
      <c r="E7" s="161" t="s">
        <v>1145</v>
      </c>
      <c r="F7" s="114" t="s">
        <v>111</v>
      </c>
      <c r="G7" s="115">
        <v>41440</v>
      </c>
      <c r="H7" s="162">
        <v>41486</v>
      </c>
      <c r="I7" s="160">
        <f t="shared" ca="1" si="0"/>
        <v>-328</v>
      </c>
      <c r="J7" s="115">
        <v>41456</v>
      </c>
      <c r="K7" s="115">
        <v>41473</v>
      </c>
      <c r="L7" s="115" t="s">
        <v>89</v>
      </c>
      <c r="M7" s="115" t="s">
        <v>89</v>
      </c>
      <c r="N7" s="115">
        <v>41668</v>
      </c>
      <c r="O7" s="115" t="s">
        <v>89</v>
      </c>
      <c r="P7" s="115" t="s">
        <v>128</v>
      </c>
      <c r="Q7" s="118" t="s">
        <v>1318</v>
      </c>
      <c r="R7" s="112"/>
    </row>
    <row r="8" spans="1:18" s="20" customFormat="1" ht="409.5" x14ac:dyDescent="0.2">
      <c r="A8" s="165" t="s">
        <v>283</v>
      </c>
      <c r="B8" s="112">
        <v>1080583104</v>
      </c>
      <c r="C8" s="112">
        <v>1080582248</v>
      </c>
      <c r="D8" s="112" t="s">
        <v>139</v>
      </c>
      <c r="E8" s="161" t="s">
        <v>953</v>
      </c>
      <c r="F8" s="114" t="s">
        <v>140</v>
      </c>
      <c r="G8" s="115">
        <v>41462</v>
      </c>
      <c r="H8" s="162">
        <v>41523</v>
      </c>
      <c r="I8" s="160">
        <f t="shared" ca="1" si="0"/>
        <v>-301</v>
      </c>
      <c r="J8" s="115">
        <v>41515</v>
      </c>
      <c r="K8" s="115" t="s">
        <v>89</v>
      </c>
      <c r="L8" s="115" t="s">
        <v>89</v>
      </c>
      <c r="M8" s="115" t="s">
        <v>89</v>
      </c>
      <c r="N8" s="115">
        <v>41926</v>
      </c>
      <c r="O8" s="115" t="s">
        <v>89</v>
      </c>
      <c r="P8" s="115" t="s">
        <v>128</v>
      </c>
      <c r="Q8" s="118" t="s">
        <v>1718</v>
      </c>
      <c r="R8" s="161" t="s">
        <v>1603</v>
      </c>
    </row>
    <row r="9" spans="1:18" s="20" customFormat="1" ht="135" x14ac:dyDescent="0.2">
      <c r="A9" s="165" t="s">
        <v>284</v>
      </c>
      <c r="B9" s="112">
        <v>1080583135</v>
      </c>
      <c r="C9" s="112">
        <v>1080581833</v>
      </c>
      <c r="D9" s="112" t="s">
        <v>677</v>
      </c>
      <c r="E9" s="161" t="s">
        <v>1019</v>
      </c>
      <c r="F9" s="114" t="s">
        <v>111</v>
      </c>
      <c r="G9" s="115">
        <v>41464</v>
      </c>
      <c r="H9" s="162">
        <v>41516</v>
      </c>
      <c r="I9" s="160">
        <f t="shared" ca="1" si="0"/>
        <v>-306</v>
      </c>
      <c r="J9" s="115" t="s">
        <v>89</v>
      </c>
      <c r="K9" s="115">
        <v>41514</v>
      </c>
      <c r="L9" s="115" t="s">
        <v>89</v>
      </c>
      <c r="M9" s="115" t="s">
        <v>89</v>
      </c>
      <c r="N9" s="115">
        <v>41689</v>
      </c>
      <c r="O9" s="115">
        <v>41502</v>
      </c>
      <c r="P9" s="115" t="s">
        <v>128</v>
      </c>
      <c r="Q9" s="118" t="s">
        <v>1408</v>
      </c>
      <c r="R9" s="112"/>
    </row>
    <row r="10" spans="1:18" s="20" customFormat="1" ht="255" x14ac:dyDescent="0.2">
      <c r="A10" s="165" t="s">
        <v>295</v>
      </c>
      <c r="B10" s="112">
        <v>1080583169</v>
      </c>
      <c r="C10" s="112">
        <v>1080582089</v>
      </c>
      <c r="D10" s="112" t="s">
        <v>201</v>
      </c>
      <c r="E10" s="161" t="s">
        <v>964</v>
      </c>
      <c r="F10" s="114" t="s">
        <v>294</v>
      </c>
      <c r="G10" s="115">
        <v>41470</v>
      </c>
      <c r="H10" s="162">
        <v>41701</v>
      </c>
      <c r="I10" s="160">
        <f t="shared" ca="1" si="0"/>
        <v>-175</v>
      </c>
      <c r="J10" s="115" t="s">
        <v>89</v>
      </c>
      <c r="K10" s="115" t="s">
        <v>89</v>
      </c>
      <c r="L10" s="115" t="s">
        <v>89</v>
      </c>
      <c r="M10" s="115" t="s">
        <v>89</v>
      </c>
      <c r="N10" s="115">
        <v>41774</v>
      </c>
      <c r="O10" s="115" t="s">
        <v>89</v>
      </c>
      <c r="P10" s="115" t="s">
        <v>128</v>
      </c>
      <c r="Q10" s="118" t="s">
        <v>1446</v>
      </c>
      <c r="R10" s="112"/>
    </row>
    <row r="11" spans="1:18" s="20" customFormat="1" ht="210" x14ac:dyDescent="0.2">
      <c r="A11" s="165" t="s">
        <v>296</v>
      </c>
      <c r="B11" s="112">
        <v>1080583176</v>
      </c>
      <c r="C11" s="112">
        <v>1080582467</v>
      </c>
      <c r="D11" s="112" t="s">
        <v>297</v>
      </c>
      <c r="E11" s="161" t="s">
        <v>1533</v>
      </c>
      <c r="F11" s="114" t="s">
        <v>298</v>
      </c>
      <c r="G11" s="115">
        <v>41471</v>
      </c>
      <c r="H11" s="162">
        <v>41516</v>
      </c>
      <c r="I11" s="160">
        <f t="shared" ca="1" si="0"/>
        <v>-306</v>
      </c>
      <c r="J11" s="115" t="s">
        <v>89</v>
      </c>
      <c r="K11" s="115" t="s">
        <v>89</v>
      </c>
      <c r="L11" s="115" t="s">
        <v>89</v>
      </c>
      <c r="M11" s="115" t="s">
        <v>89</v>
      </c>
      <c r="N11" s="115">
        <v>41890</v>
      </c>
      <c r="O11" s="115" t="s">
        <v>89</v>
      </c>
      <c r="P11" s="115" t="s">
        <v>128</v>
      </c>
      <c r="Q11" s="118" t="s">
        <v>1611</v>
      </c>
      <c r="R11" s="161" t="s">
        <v>1601</v>
      </c>
    </row>
    <row r="12" spans="1:18" s="20" customFormat="1" ht="165" x14ac:dyDescent="0.2">
      <c r="A12" s="165" t="s">
        <v>320</v>
      </c>
      <c r="B12" s="112">
        <v>1080583268</v>
      </c>
      <c r="C12" s="112">
        <v>1080582376</v>
      </c>
      <c r="D12" s="112" t="s">
        <v>321</v>
      </c>
      <c r="E12" s="161" t="s">
        <v>981</v>
      </c>
      <c r="F12" s="114" t="s">
        <v>322</v>
      </c>
      <c r="G12" s="115">
        <v>41485</v>
      </c>
      <c r="H12" s="162">
        <v>41537</v>
      </c>
      <c r="I12" s="160">
        <f t="shared" ca="1" si="0"/>
        <v>-291</v>
      </c>
      <c r="J12" s="115" t="s">
        <v>89</v>
      </c>
      <c r="K12" s="115">
        <v>41533</v>
      </c>
      <c r="L12" s="115" t="s">
        <v>89</v>
      </c>
      <c r="M12" s="115" t="s">
        <v>89</v>
      </c>
      <c r="N12" s="115">
        <v>41723</v>
      </c>
      <c r="O12" s="115">
        <v>41492</v>
      </c>
      <c r="P12" s="115" t="s">
        <v>128</v>
      </c>
      <c r="Q12" s="118" t="s">
        <v>1377</v>
      </c>
      <c r="R12" s="112"/>
    </row>
    <row r="13" spans="1:18" s="20" customFormat="1" ht="330" x14ac:dyDescent="0.2">
      <c r="A13" s="165" t="s">
        <v>330</v>
      </c>
      <c r="B13" s="112">
        <v>1080583464</v>
      </c>
      <c r="C13" s="112">
        <v>1080582627</v>
      </c>
      <c r="D13" s="112" t="s">
        <v>331</v>
      </c>
      <c r="E13" s="161" t="s">
        <v>935</v>
      </c>
      <c r="F13" s="114" t="s">
        <v>332</v>
      </c>
      <c r="G13" s="115">
        <v>41510</v>
      </c>
      <c r="H13" s="162">
        <v>41551</v>
      </c>
      <c r="I13" s="160">
        <f t="shared" ca="1" si="0"/>
        <v>-281</v>
      </c>
      <c r="J13" s="115">
        <v>41522</v>
      </c>
      <c r="K13" s="115">
        <v>41516</v>
      </c>
      <c r="L13" s="115" t="s">
        <v>89</v>
      </c>
      <c r="M13" s="115" t="s">
        <v>89</v>
      </c>
      <c r="N13" s="115">
        <v>41695</v>
      </c>
      <c r="O13" s="115" t="s">
        <v>89</v>
      </c>
      <c r="P13" s="115" t="s">
        <v>128</v>
      </c>
      <c r="Q13" s="118" t="s">
        <v>1408</v>
      </c>
      <c r="R13" s="112"/>
    </row>
    <row r="14" spans="1:18" s="20" customFormat="1" ht="240" x14ac:dyDescent="0.2">
      <c r="A14" s="165" t="s">
        <v>340</v>
      </c>
      <c r="B14" s="112">
        <v>1080583467</v>
      </c>
      <c r="C14" s="112">
        <v>1080582247</v>
      </c>
      <c r="D14" s="112" t="s">
        <v>341</v>
      </c>
      <c r="E14" s="161" t="s">
        <v>1012</v>
      </c>
      <c r="F14" s="114" t="s">
        <v>342</v>
      </c>
      <c r="G14" s="115">
        <v>41511</v>
      </c>
      <c r="H14" s="162">
        <v>41565</v>
      </c>
      <c r="I14" s="160">
        <f t="shared" ca="1" si="0"/>
        <v>-271</v>
      </c>
      <c r="J14" s="115">
        <v>41542</v>
      </c>
      <c r="K14" s="115">
        <v>41677</v>
      </c>
      <c r="L14" s="115" t="s">
        <v>89</v>
      </c>
      <c r="M14" s="115" t="s">
        <v>89</v>
      </c>
      <c r="N14" s="115">
        <v>41774</v>
      </c>
      <c r="O14" s="115" t="s">
        <v>89</v>
      </c>
      <c r="P14" s="115" t="s">
        <v>128</v>
      </c>
      <c r="Q14" s="118" t="s">
        <v>1534</v>
      </c>
      <c r="R14" s="112"/>
    </row>
    <row r="15" spans="1:18" s="20" customFormat="1" ht="240" x14ac:dyDescent="0.2">
      <c r="A15" s="110" t="s">
        <v>922</v>
      </c>
      <c r="B15" s="112">
        <v>1080583518</v>
      </c>
      <c r="C15" s="112">
        <v>1080582696</v>
      </c>
      <c r="D15" s="112" t="s">
        <v>311</v>
      </c>
      <c r="E15" s="161" t="s">
        <v>927</v>
      </c>
      <c r="F15" s="114" t="s">
        <v>244</v>
      </c>
      <c r="G15" s="115">
        <v>41516</v>
      </c>
      <c r="H15" s="115">
        <v>41565</v>
      </c>
      <c r="I15" s="160">
        <f t="shared" ca="1" si="0"/>
        <v>-271</v>
      </c>
      <c r="J15" s="115" t="s">
        <v>89</v>
      </c>
      <c r="K15" s="115" t="s">
        <v>89</v>
      </c>
      <c r="L15" s="115" t="s">
        <v>89</v>
      </c>
      <c r="M15" s="115" t="s">
        <v>89</v>
      </c>
      <c r="N15" s="115">
        <v>41774</v>
      </c>
      <c r="O15" s="115" t="s">
        <v>89</v>
      </c>
      <c r="P15" s="115" t="s">
        <v>128</v>
      </c>
      <c r="Q15" s="118" t="s">
        <v>1484</v>
      </c>
      <c r="R15" s="112"/>
    </row>
    <row r="16" spans="1:18" s="20" customFormat="1" ht="135" x14ac:dyDescent="0.2">
      <c r="A16" s="110" t="s">
        <v>968</v>
      </c>
      <c r="B16" s="112">
        <v>1080583601</v>
      </c>
      <c r="C16" s="112">
        <v>1080582846</v>
      </c>
      <c r="D16" s="112" t="s">
        <v>227</v>
      </c>
      <c r="E16" s="118" t="s">
        <v>970</v>
      </c>
      <c r="F16" s="114" t="s">
        <v>971</v>
      </c>
      <c r="G16" s="115">
        <v>41532</v>
      </c>
      <c r="H16" s="115">
        <v>41645</v>
      </c>
      <c r="I16" s="160">
        <f t="shared" ca="1" si="0"/>
        <v>-215</v>
      </c>
      <c r="J16" s="115" t="s">
        <v>89</v>
      </c>
      <c r="K16" s="115">
        <v>41599</v>
      </c>
      <c r="L16" s="115" t="s">
        <v>89</v>
      </c>
      <c r="M16" s="115" t="s">
        <v>89</v>
      </c>
      <c r="N16" s="115">
        <v>41797</v>
      </c>
      <c r="O16" s="115" t="s">
        <v>89</v>
      </c>
      <c r="P16" s="115" t="s">
        <v>128</v>
      </c>
      <c r="Q16" s="118" t="s">
        <v>1492</v>
      </c>
      <c r="R16" s="112"/>
    </row>
    <row r="17" spans="1:18" s="20" customFormat="1" ht="375" x14ac:dyDescent="0.2">
      <c r="A17" s="110" t="s">
        <v>984</v>
      </c>
      <c r="B17" s="112">
        <v>1080583621</v>
      </c>
      <c r="C17" s="112">
        <v>1080582846</v>
      </c>
      <c r="D17" s="112" t="s">
        <v>1011</v>
      </c>
      <c r="E17" s="118" t="s">
        <v>986</v>
      </c>
      <c r="F17" s="114" t="s">
        <v>111</v>
      </c>
      <c r="G17" s="115">
        <v>41535</v>
      </c>
      <c r="H17" s="115">
        <v>41614</v>
      </c>
      <c r="I17" s="160">
        <f t="shared" ca="1" si="0"/>
        <v>-236</v>
      </c>
      <c r="J17" s="115">
        <v>41576</v>
      </c>
      <c r="K17" s="115">
        <v>41642</v>
      </c>
      <c r="L17" s="115">
        <v>41628</v>
      </c>
      <c r="M17" s="115" t="s">
        <v>89</v>
      </c>
      <c r="N17" s="115">
        <v>41774</v>
      </c>
      <c r="O17" s="115">
        <v>41682</v>
      </c>
      <c r="P17" s="115" t="s">
        <v>128</v>
      </c>
      <c r="Q17" s="118" t="s">
        <v>1492</v>
      </c>
      <c r="R17" s="112"/>
    </row>
    <row r="18" spans="1:18" s="20" customFormat="1" ht="180" x14ac:dyDescent="0.2">
      <c r="A18" s="110" t="s">
        <v>987</v>
      </c>
      <c r="B18" s="112">
        <v>1080583643</v>
      </c>
      <c r="C18" s="112">
        <v>1080582993</v>
      </c>
      <c r="D18" s="112" t="s">
        <v>1010</v>
      </c>
      <c r="E18" s="118" t="s">
        <v>1000</v>
      </c>
      <c r="F18" s="114" t="s">
        <v>111</v>
      </c>
      <c r="G18" s="115">
        <v>41537</v>
      </c>
      <c r="H18" s="115">
        <v>41621</v>
      </c>
      <c r="I18" s="160">
        <f t="shared" ca="1" si="0"/>
        <v>-231</v>
      </c>
      <c r="J18" s="115">
        <v>41540</v>
      </c>
      <c r="K18" s="115">
        <v>41577</v>
      </c>
      <c r="L18" s="115">
        <v>41605</v>
      </c>
      <c r="M18" s="115">
        <v>41667</v>
      </c>
      <c r="N18" s="115">
        <v>41555</v>
      </c>
      <c r="O18" s="115">
        <v>41609</v>
      </c>
      <c r="P18" s="115" t="s">
        <v>128</v>
      </c>
      <c r="Q18" s="118" t="s">
        <v>1497</v>
      </c>
      <c r="R18" s="112"/>
    </row>
    <row r="19" spans="1:18" s="20" customFormat="1" ht="90" x14ac:dyDescent="0.2">
      <c r="A19" s="110" t="s">
        <v>1039</v>
      </c>
      <c r="B19" s="112">
        <v>1080583739</v>
      </c>
      <c r="C19" s="112">
        <v>1080581117</v>
      </c>
      <c r="D19" s="112" t="s">
        <v>102</v>
      </c>
      <c r="E19" s="118" t="s">
        <v>1044</v>
      </c>
      <c r="F19" s="114" t="s">
        <v>1045</v>
      </c>
      <c r="G19" s="115">
        <v>41551</v>
      </c>
      <c r="H19" s="115">
        <v>41649</v>
      </c>
      <c r="I19" s="160">
        <f t="shared" ca="1" si="0"/>
        <v>-211</v>
      </c>
      <c r="J19" s="115" t="s">
        <v>89</v>
      </c>
      <c r="K19" s="115" t="s">
        <v>89</v>
      </c>
      <c r="L19" s="115" t="s">
        <v>89</v>
      </c>
      <c r="M19" s="115" t="s">
        <v>89</v>
      </c>
      <c r="N19" s="115" t="s">
        <v>89</v>
      </c>
      <c r="O19" s="115" t="s">
        <v>89</v>
      </c>
      <c r="P19" s="115" t="s">
        <v>128</v>
      </c>
      <c r="Q19" s="118"/>
      <c r="R19" s="112"/>
    </row>
    <row r="20" spans="1:18" s="20" customFormat="1" ht="300" x14ac:dyDescent="0.2">
      <c r="A20" s="110" t="s">
        <v>1080</v>
      </c>
      <c r="B20" s="112">
        <v>1080583896</v>
      </c>
      <c r="C20" s="112">
        <v>1080582401</v>
      </c>
      <c r="D20" s="112" t="s">
        <v>1118</v>
      </c>
      <c r="E20" s="118" t="s">
        <v>1090</v>
      </c>
      <c r="F20" s="114" t="s">
        <v>315</v>
      </c>
      <c r="G20" s="115">
        <v>41577</v>
      </c>
      <c r="H20" s="115">
        <v>41645</v>
      </c>
      <c r="I20" s="160">
        <f t="shared" ca="1" si="0"/>
        <v>-215</v>
      </c>
      <c r="J20" s="115" t="s">
        <v>89</v>
      </c>
      <c r="K20" s="115">
        <v>41621</v>
      </c>
      <c r="L20" s="115" t="s">
        <v>89</v>
      </c>
      <c r="M20" s="115" t="s">
        <v>89</v>
      </c>
      <c r="N20" s="115">
        <v>41736</v>
      </c>
      <c r="O20" s="115" t="s">
        <v>89</v>
      </c>
      <c r="P20" s="115" t="s">
        <v>128</v>
      </c>
      <c r="Q20" s="118" t="s">
        <v>1396</v>
      </c>
      <c r="R20" s="112"/>
    </row>
    <row r="21" spans="1:18" s="20" customFormat="1" ht="105" x14ac:dyDescent="0.2">
      <c r="A21" s="110" t="s">
        <v>1096</v>
      </c>
      <c r="B21" s="112">
        <v>1080583924</v>
      </c>
      <c r="C21" s="112">
        <v>1080583806</v>
      </c>
      <c r="D21" s="112" t="s">
        <v>134</v>
      </c>
      <c r="E21" s="118" t="s">
        <v>1097</v>
      </c>
      <c r="F21" s="114" t="s">
        <v>215</v>
      </c>
      <c r="G21" s="115">
        <v>41580</v>
      </c>
      <c r="H21" s="115">
        <v>41806</v>
      </c>
      <c r="I21" s="160">
        <f t="shared" ca="1" si="0"/>
        <v>-100</v>
      </c>
      <c r="J21" s="115" t="s">
        <v>89</v>
      </c>
      <c r="K21" s="115">
        <v>41807</v>
      </c>
      <c r="L21" s="115" t="s">
        <v>89</v>
      </c>
      <c r="M21" s="115" t="s">
        <v>89</v>
      </c>
      <c r="N21" s="115">
        <v>41807</v>
      </c>
      <c r="O21" s="115">
        <v>41809</v>
      </c>
      <c r="P21" s="115" t="s">
        <v>128</v>
      </c>
      <c r="Q21" s="118" t="s">
        <v>1756</v>
      </c>
      <c r="R21" s="112"/>
    </row>
    <row r="22" spans="1:18" s="20" customFormat="1" ht="240" x14ac:dyDescent="0.2">
      <c r="A22" s="110" t="s">
        <v>1098</v>
      </c>
      <c r="B22" s="112">
        <v>1080583941</v>
      </c>
      <c r="C22" s="112">
        <v>1080582863</v>
      </c>
      <c r="D22" s="112" t="s">
        <v>1121</v>
      </c>
      <c r="E22" s="118" t="s">
        <v>1099</v>
      </c>
      <c r="F22" s="114" t="s">
        <v>1100</v>
      </c>
      <c r="G22" s="115">
        <v>41584</v>
      </c>
      <c r="H22" s="115">
        <v>41666</v>
      </c>
      <c r="I22" s="160">
        <f t="shared" ca="1" si="0"/>
        <v>-200</v>
      </c>
      <c r="J22" s="115" t="s">
        <v>89</v>
      </c>
      <c r="K22" s="115" t="s">
        <v>89</v>
      </c>
      <c r="L22" s="115" t="s">
        <v>89</v>
      </c>
      <c r="M22" s="115" t="s">
        <v>89</v>
      </c>
      <c r="N22" s="115">
        <v>41926</v>
      </c>
      <c r="O22" s="115" t="s">
        <v>89</v>
      </c>
      <c r="P22" s="115" t="s">
        <v>128</v>
      </c>
      <c r="Q22" s="118" t="s">
        <v>1719</v>
      </c>
      <c r="R22" s="112"/>
    </row>
    <row r="23" spans="1:18" s="20" customFormat="1" ht="180" x14ac:dyDescent="0.2">
      <c r="A23" s="110" t="s">
        <v>1105</v>
      </c>
      <c r="B23" s="112">
        <v>1080583944</v>
      </c>
      <c r="C23" s="112">
        <v>1080582784</v>
      </c>
      <c r="D23" s="112" t="s">
        <v>1122</v>
      </c>
      <c r="E23" s="118" t="s">
        <v>1114</v>
      </c>
      <c r="F23" s="114" t="s">
        <v>111</v>
      </c>
      <c r="G23" s="115">
        <v>41586</v>
      </c>
      <c r="H23" s="115">
        <v>41715</v>
      </c>
      <c r="I23" s="160">
        <f t="shared" ca="1" si="0"/>
        <v>-165</v>
      </c>
      <c r="J23" s="115">
        <v>41590</v>
      </c>
      <c r="K23" s="115">
        <v>41698</v>
      </c>
      <c r="L23" s="115" t="s">
        <v>89</v>
      </c>
      <c r="M23" s="115" t="s">
        <v>89</v>
      </c>
      <c r="N23" s="115">
        <v>41740</v>
      </c>
      <c r="O23" s="115">
        <v>41705</v>
      </c>
      <c r="P23" s="115" t="s">
        <v>128</v>
      </c>
      <c r="Q23" s="118" t="s">
        <v>1409</v>
      </c>
      <c r="R23" s="112"/>
    </row>
    <row r="24" spans="1:18" s="20" customFormat="1" ht="150" x14ac:dyDescent="0.2">
      <c r="A24" s="110" t="s">
        <v>1108</v>
      </c>
      <c r="B24" s="112">
        <v>1080583964</v>
      </c>
      <c r="C24" s="112">
        <v>1080583116</v>
      </c>
      <c r="D24" s="112" t="s">
        <v>102</v>
      </c>
      <c r="E24" s="118" t="s">
        <v>1117</v>
      </c>
      <c r="F24" s="114" t="s">
        <v>103</v>
      </c>
      <c r="G24" s="115">
        <v>41588</v>
      </c>
      <c r="H24" s="115">
        <v>41666</v>
      </c>
      <c r="I24" s="160">
        <f t="shared" ref="I24:I32" ca="1" si="1">IF(H24&lt;&gt;0,NETWORKDAYS(TODAY(),H24),"")</f>
        <v>-200</v>
      </c>
      <c r="J24" s="115" t="s">
        <v>89</v>
      </c>
      <c r="K24" s="115" t="s">
        <v>89</v>
      </c>
      <c r="L24" s="115" t="s">
        <v>89</v>
      </c>
      <c r="M24" s="115" t="s">
        <v>89</v>
      </c>
      <c r="N24" s="115">
        <v>41596</v>
      </c>
      <c r="O24" s="115" t="s">
        <v>89</v>
      </c>
      <c r="P24" s="115" t="s">
        <v>128</v>
      </c>
      <c r="Q24" s="118" t="s">
        <v>1453</v>
      </c>
      <c r="R24" s="112"/>
    </row>
    <row r="25" spans="1:18" s="20" customFormat="1" ht="195" x14ac:dyDescent="0.2">
      <c r="A25" s="110" t="s">
        <v>1123</v>
      </c>
      <c r="B25" s="112">
        <v>1080583987</v>
      </c>
      <c r="C25" s="112">
        <v>1080583616</v>
      </c>
      <c r="D25" s="112" t="s">
        <v>1120</v>
      </c>
      <c r="E25" s="118" t="s">
        <v>1125</v>
      </c>
      <c r="F25" s="114" t="s">
        <v>167</v>
      </c>
      <c r="G25" s="115">
        <v>41591</v>
      </c>
      <c r="H25" s="115">
        <v>41673</v>
      </c>
      <c r="I25" s="160">
        <f t="shared" ca="1" si="1"/>
        <v>-195</v>
      </c>
      <c r="J25" s="115" t="s">
        <v>89</v>
      </c>
      <c r="K25" s="115">
        <v>41698</v>
      </c>
      <c r="L25" s="115" t="s">
        <v>89</v>
      </c>
      <c r="M25" s="115" t="s">
        <v>89</v>
      </c>
      <c r="N25" s="115">
        <v>41605</v>
      </c>
      <c r="O25" s="115">
        <v>41725</v>
      </c>
      <c r="P25" s="115" t="s">
        <v>128</v>
      </c>
      <c r="Q25" s="118" t="s">
        <v>1378</v>
      </c>
      <c r="R25" s="112"/>
    </row>
    <row r="26" spans="1:18" s="20" customFormat="1" ht="90" x14ac:dyDescent="0.2">
      <c r="A26" s="110" t="s">
        <v>1206</v>
      </c>
      <c r="B26" s="112">
        <v>1080584188</v>
      </c>
      <c r="C26" s="112">
        <v>1080583790</v>
      </c>
      <c r="D26" s="112" t="s">
        <v>1233</v>
      </c>
      <c r="E26" s="118" t="s">
        <v>1210</v>
      </c>
      <c r="F26" s="114" t="s">
        <v>639</v>
      </c>
      <c r="G26" s="115">
        <v>41635</v>
      </c>
      <c r="H26" s="115">
        <v>41764</v>
      </c>
      <c r="I26" s="160">
        <f t="shared" ca="1" si="1"/>
        <v>-130</v>
      </c>
      <c r="J26" s="115" t="s">
        <v>89</v>
      </c>
      <c r="K26" s="115">
        <v>41753</v>
      </c>
      <c r="L26" s="115" t="s">
        <v>89</v>
      </c>
      <c r="M26" s="115" t="s">
        <v>89</v>
      </c>
      <c r="N26" s="115">
        <v>41731</v>
      </c>
      <c r="O26" s="115">
        <v>41935</v>
      </c>
      <c r="P26" s="115" t="s">
        <v>128</v>
      </c>
      <c r="Q26" s="118" t="s">
        <v>1756</v>
      </c>
      <c r="R26" s="112"/>
    </row>
    <row r="27" spans="1:18" s="20" customFormat="1" ht="120" x14ac:dyDescent="0.2">
      <c r="A27" s="110" t="s">
        <v>1257</v>
      </c>
      <c r="B27" s="112">
        <v>1080584356</v>
      </c>
      <c r="C27" s="112">
        <v>1080583698</v>
      </c>
      <c r="D27" s="112" t="s">
        <v>1118</v>
      </c>
      <c r="E27" s="118" t="s">
        <v>1265</v>
      </c>
      <c r="F27" s="114" t="s">
        <v>1266</v>
      </c>
      <c r="G27" s="115">
        <v>41668</v>
      </c>
      <c r="H27" s="115">
        <v>41736</v>
      </c>
      <c r="I27" s="160">
        <f t="shared" ca="1" si="1"/>
        <v>-150</v>
      </c>
      <c r="J27" s="115" t="s">
        <v>89</v>
      </c>
      <c r="K27" s="115" t="s">
        <v>89</v>
      </c>
      <c r="L27" s="115" t="s">
        <v>89</v>
      </c>
      <c r="M27" s="115" t="s">
        <v>89</v>
      </c>
      <c r="N27" s="115">
        <v>41926</v>
      </c>
      <c r="O27" s="115" t="s">
        <v>89</v>
      </c>
      <c r="P27" s="115" t="s">
        <v>128</v>
      </c>
      <c r="Q27" s="118" t="s">
        <v>1720</v>
      </c>
      <c r="R27" s="112"/>
    </row>
    <row r="28" spans="1:18" s="20" customFormat="1" ht="150" x14ac:dyDescent="0.2">
      <c r="A28" s="110" t="s">
        <v>1280</v>
      </c>
      <c r="B28" s="112">
        <v>1080584422</v>
      </c>
      <c r="C28" s="112">
        <v>1080583795</v>
      </c>
      <c r="D28" s="112" t="s">
        <v>122</v>
      </c>
      <c r="E28" s="118" t="s">
        <v>1286</v>
      </c>
      <c r="F28" s="114" t="s">
        <v>258</v>
      </c>
      <c r="G28" s="115">
        <v>41679</v>
      </c>
      <c r="H28" s="115">
        <v>41736</v>
      </c>
      <c r="I28" s="160">
        <f t="shared" ca="1" si="1"/>
        <v>-150</v>
      </c>
      <c r="J28" s="115">
        <v>11414</v>
      </c>
      <c r="K28" s="115">
        <v>41694</v>
      </c>
      <c r="L28" s="115" t="s">
        <v>89</v>
      </c>
      <c r="M28" s="115" t="s">
        <v>89</v>
      </c>
      <c r="N28" s="115">
        <v>41927</v>
      </c>
      <c r="O28" s="115">
        <v>41696</v>
      </c>
      <c r="P28" s="115" t="s">
        <v>128</v>
      </c>
      <c r="Q28" s="118" t="s">
        <v>1720</v>
      </c>
      <c r="R28" s="112"/>
    </row>
    <row r="29" spans="1:18" s="20" customFormat="1" ht="120" x14ac:dyDescent="0.2">
      <c r="A29" s="110" t="s">
        <v>1343</v>
      </c>
      <c r="B29" s="112">
        <v>1080584664</v>
      </c>
      <c r="C29" s="112">
        <v>1080583612</v>
      </c>
      <c r="D29" s="112" t="s">
        <v>201</v>
      </c>
      <c r="E29" s="118" t="s">
        <v>1347</v>
      </c>
      <c r="F29" s="114" t="s">
        <v>1348</v>
      </c>
      <c r="G29" s="115">
        <v>41711</v>
      </c>
      <c r="H29" s="115">
        <v>41792</v>
      </c>
      <c r="I29" s="160">
        <f t="shared" ca="1" si="1"/>
        <v>-110</v>
      </c>
      <c r="J29" s="115" t="s">
        <v>89</v>
      </c>
      <c r="K29" s="115">
        <v>41771</v>
      </c>
      <c r="L29" s="115" t="s">
        <v>89</v>
      </c>
      <c r="M29" s="115" t="s">
        <v>89</v>
      </c>
      <c r="N29" s="115">
        <v>41774</v>
      </c>
      <c r="O29" s="115">
        <v>41801</v>
      </c>
      <c r="P29" s="115" t="s">
        <v>128</v>
      </c>
      <c r="Q29" s="118" t="s">
        <v>1505</v>
      </c>
      <c r="R29" s="112"/>
    </row>
    <row r="30" spans="1:18" s="20" customFormat="1" ht="90" x14ac:dyDescent="0.2">
      <c r="A30" s="181" t="s">
        <v>1414</v>
      </c>
      <c r="B30" s="182">
        <v>1080584919</v>
      </c>
      <c r="C30" s="182">
        <v>1080584123</v>
      </c>
      <c r="D30" s="182" t="s">
        <v>677</v>
      </c>
      <c r="E30" s="183" t="s">
        <v>1415</v>
      </c>
      <c r="F30" s="184" t="s">
        <v>244</v>
      </c>
      <c r="G30" s="185">
        <v>41749</v>
      </c>
      <c r="H30" s="185">
        <v>41852</v>
      </c>
      <c r="I30" s="186">
        <f t="shared" ca="1" si="1"/>
        <v>-66</v>
      </c>
      <c r="J30" s="185" t="s">
        <v>89</v>
      </c>
      <c r="K30" s="185" t="s">
        <v>89</v>
      </c>
      <c r="L30" s="185" t="s">
        <v>89</v>
      </c>
      <c r="M30" s="185" t="s">
        <v>89</v>
      </c>
      <c r="N30" s="185">
        <v>41878</v>
      </c>
      <c r="O30" s="185" t="s">
        <v>89</v>
      </c>
      <c r="P30" s="185" t="s">
        <v>128</v>
      </c>
      <c r="Q30" s="183" t="s">
        <v>1705</v>
      </c>
      <c r="R30" s="182"/>
    </row>
    <row r="31" spans="1:18" s="20" customFormat="1" ht="90" x14ac:dyDescent="0.2">
      <c r="A31" s="181" t="s">
        <v>1472</v>
      </c>
      <c r="B31" s="182">
        <v>1080585203</v>
      </c>
      <c r="C31" s="182">
        <v>1080584497</v>
      </c>
      <c r="D31" s="182" t="s">
        <v>1649</v>
      </c>
      <c r="E31" s="183" t="s">
        <v>1480</v>
      </c>
      <c r="F31" s="184" t="s">
        <v>244</v>
      </c>
      <c r="G31" s="185">
        <v>41791</v>
      </c>
      <c r="H31" s="185">
        <v>41887</v>
      </c>
      <c r="I31" s="186">
        <f t="shared" ca="1" si="1"/>
        <v>-41</v>
      </c>
      <c r="J31" s="185" t="s">
        <v>89</v>
      </c>
      <c r="K31" s="185" t="s">
        <v>89</v>
      </c>
      <c r="L31" s="185" t="s">
        <v>89</v>
      </c>
      <c r="M31" s="185" t="s">
        <v>89</v>
      </c>
      <c r="N31" s="185">
        <v>41926</v>
      </c>
      <c r="O31" s="185" t="s">
        <v>89</v>
      </c>
      <c r="P31" s="185" t="s">
        <v>128</v>
      </c>
      <c r="Q31" s="183" t="s">
        <v>1722</v>
      </c>
      <c r="R31" s="182"/>
    </row>
    <row r="32" spans="1:18" s="20" customFormat="1" ht="105" x14ac:dyDescent="0.2">
      <c r="A32" s="110" t="s">
        <v>1482</v>
      </c>
      <c r="B32" s="112">
        <v>1080585227</v>
      </c>
      <c r="C32" s="112">
        <v>1080584222</v>
      </c>
      <c r="D32" s="112" t="s">
        <v>201</v>
      </c>
      <c r="E32" s="118" t="s">
        <v>1486</v>
      </c>
      <c r="F32" s="114" t="s">
        <v>294</v>
      </c>
      <c r="G32" s="115">
        <v>41794</v>
      </c>
      <c r="H32" s="115">
        <v>41887</v>
      </c>
      <c r="I32" s="160">
        <f t="shared" ca="1" si="1"/>
        <v>-41</v>
      </c>
      <c r="J32" s="115" t="s">
        <v>89</v>
      </c>
      <c r="K32" s="115" t="s">
        <v>89</v>
      </c>
      <c r="L32" s="115" t="s">
        <v>89</v>
      </c>
      <c r="M32" s="115" t="s">
        <v>89</v>
      </c>
      <c r="N32" s="115">
        <v>41885</v>
      </c>
      <c r="O32" s="115" t="s">
        <v>89</v>
      </c>
      <c r="P32" s="115" t="s">
        <v>128</v>
      </c>
      <c r="Q32" s="118" t="s">
        <v>1706</v>
      </c>
      <c r="R32" s="112"/>
    </row>
    <row r="33" spans="1:18" s="20" customFormat="1" ht="75" x14ac:dyDescent="0.2">
      <c r="A33" s="110" t="s">
        <v>1512</v>
      </c>
      <c r="B33" s="112" t="s">
        <v>1716</v>
      </c>
      <c r="C33" s="112">
        <v>1080584798</v>
      </c>
      <c r="D33" s="112" t="s">
        <v>1203</v>
      </c>
      <c r="E33" s="118" t="s">
        <v>1543</v>
      </c>
      <c r="F33" s="114" t="s">
        <v>1544</v>
      </c>
      <c r="G33" s="115">
        <v>41848</v>
      </c>
      <c r="H33" s="115">
        <v>41890</v>
      </c>
      <c r="I33" s="160">
        <f t="shared" ref="I33" ca="1" si="2">IF(H33&lt;&gt;0,NETWORKDAYS(TODAY(),H33),"")</f>
        <v>-40</v>
      </c>
      <c r="J33" s="115" t="s">
        <v>89</v>
      </c>
      <c r="K33" s="115" t="s">
        <v>89</v>
      </c>
      <c r="L33" s="115" t="s">
        <v>89</v>
      </c>
      <c r="M33" s="115" t="s">
        <v>89</v>
      </c>
      <c r="N33" s="115">
        <v>41926</v>
      </c>
      <c r="O33" s="115" t="s">
        <v>89</v>
      </c>
      <c r="P33" s="115" t="s">
        <v>128</v>
      </c>
      <c r="Q33" s="118" t="s">
        <v>1747</v>
      </c>
      <c r="R33" s="112"/>
    </row>
  </sheetData>
  <conditionalFormatting sqref="I2">
    <cfRule type="expression" dxfId="375" priority="32">
      <formula>$I2&lt;0</formula>
    </cfRule>
  </conditionalFormatting>
  <conditionalFormatting sqref="I3">
    <cfRule type="expression" dxfId="374" priority="31">
      <formula>$I3&lt;0</formula>
    </cfRule>
  </conditionalFormatting>
  <conditionalFormatting sqref="I4">
    <cfRule type="expression" dxfId="373" priority="30">
      <formula>$I4&lt;0</formula>
    </cfRule>
  </conditionalFormatting>
  <conditionalFormatting sqref="I5">
    <cfRule type="expression" dxfId="372" priority="29">
      <formula>$I5&lt;0</formula>
    </cfRule>
  </conditionalFormatting>
  <conditionalFormatting sqref="I6">
    <cfRule type="expression" dxfId="371" priority="28">
      <formula>$I6&lt;0</formula>
    </cfRule>
  </conditionalFormatting>
  <conditionalFormatting sqref="I7">
    <cfRule type="expression" dxfId="370" priority="27">
      <formula>$I7&lt;0</formula>
    </cfRule>
  </conditionalFormatting>
  <conditionalFormatting sqref="I8">
    <cfRule type="expression" dxfId="369" priority="26">
      <formula>$I8&lt;0</formula>
    </cfRule>
  </conditionalFormatting>
  <conditionalFormatting sqref="I9">
    <cfRule type="expression" dxfId="368" priority="25">
      <formula>$I9&lt;0</formula>
    </cfRule>
  </conditionalFormatting>
  <conditionalFormatting sqref="I10">
    <cfRule type="expression" dxfId="367" priority="24">
      <formula>$I10&lt;0</formula>
    </cfRule>
  </conditionalFormatting>
  <conditionalFormatting sqref="I11">
    <cfRule type="expression" dxfId="366" priority="23">
      <formula>$I11&lt;0</formula>
    </cfRule>
  </conditionalFormatting>
  <conditionalFormatting sqref="I12">
    <cfRule type="expression" dxfId="365" priority="22">
      <formula>$I12&lt;0</formula>
    </cfRule>
  </conditionalFormatting>
  <conditionalFormatting sqref="I13">
    <cfRule type="expression" dxfId="364" priority="21">
      <formula>$I13&lt;0</formula>
    </cfRule>
  </conditionalFormatting>
  <conditionalFormatting sqref="I14">
    <cfRule type="expression" dxfId="363" priority="20">
      <formula>$I14&lt;0</formula>
    </cfRule>
  </conditionalFormatting>
  <conditionalFormatting sqref="I15">
    <cfRule type="expression" dxfId="362" priority="19">
      <formula>$I15&lt;0</formula>
    </cfRule>
  </conditionalFormatting>
  <conditionalFormatting sqref="I16">
    <cfRule type="expression" dxfId="361" priority="18">
      <formula>$I16&lt;0</formula>
    </cfRule>
  </conditionalFormatting>
  <conditionalFormatting sqref="I17">
    <cfRule type="expression" dxfId="360" priority="17">
      <formula>$I17&lt;0</formula>
    </cfRule>
  </conditionalFormatting>
  <conditionalFormatting sqref="I18">
    <cfRule type="expression" dxfId="359" priority="16">
      <formula>$I18&lt;0</formula>
    </cfRule>
  </conditionalFormatting>
  <conditionalFormatting sqref="I19">
    <cfRule type="expression" dxfId="358" priority="15">
      <formula>$I19&lt;0</formula>
    </cfRule>
  </conditionalFormatting>
  <conditionalFormatting sqref="I20">
    <cfRule type="expression" dxfId="357" priority="14">
      <formula>$I20&lt;0</formula>
    </cfRule>
  </conditionalFormatting>
  <conditionalFormatting sqref="I21">
    <cfRule type="expression" dxfId="356" priority="13">
      <formula>$I21&lt;0</formula>
    </cfRule>
  </conditionalFormatting>
  <conditionalFormatting sqref="I22">
    <cfRule type="expression" dxfId="355" priority="12">
      <formula>$I22&lt;0</formula>
    </cfRule>
  </conditionalFormatting>
  <conditionalFormatting sqref="I23">
    <cfRule type="expression" dxfId="354" priority="11">
      <formula>$I23&lt;0</formula>
    </cfRule>
  </conditionalFormatting>
  <conditionalFormatting sqref="I24">
    <cfRule type="expression" dxfId="353" priority="10">
      <formula>$I24&lt;0</formula>
    </cfRule>
  </conditionalFormatting>
  <conditionalFormatting sqref="I25">
    <cfRule type="expression" dxfId="352" priority="9">
      <formula>$I25&lt;0</formula>
    </cfRule>
  </conditionalFormatting>
  <conditionalFormatting sqref="I26">
    <cfRule type="expression" dxfId="351" priority="8">
      <formula>$I26&lt;0</formula>
    </cfRule>
  </conditionalFormatting>
  <conditionalFormatting sqref="I27">
    <cfRule type="expression" dxfId="350" priority="7">
      <formula>$I27&lt;0</formula>
    </cfRule>
  </conditionalFormatting>
  <conditionalFormatting sqref="I28">
    <cfRule type="expression" dxfId="349" priority="6">
      <formula>$I28&lt;0</formula>
    </cfRule>
  </conditionalFormatting>
  <conditionalFormatting sqref="I29">
    <cfRule type="expression" dxfId="348" priority="5">
      <formula>$I29&lt;0</formula>
    </cfRule>
  </conditionalFormatting>
  <conditionalFormatting sqref="I30">
    <cfRule type="expression" dxfId="347" priority="4">
      <formula>$I30&lt;0</formula>
    </cfRule>
  </conditionalFormatting>
  <conditionalFormatting sqref="I31">
    <cfRule type="expression" dxfId="346" priority="3">
      <formula>$I31&lt;0</formula>
    </cfRule>
  </conditionalFormatting>
  <conditionalFormatting sqref="I32">
    <cfRule type="expression" dxfId="345" priority="2">
      <formula>$I32&lt;0</formula>
    </cfRule>
  </conditionalFormatting>
  <conditionalFormatting sqref="I33">
    <cfRule type="expression" dxfId="344" priority="1">
      <formula>$I33&lt;0</formula>
    </cfRule>
  </conditionalFormatting>
  <hyperlinks>
    <hyperlink ref="A2" r:id="rId1"/>
    <hyperlink ref="A3" r:id="rId2"/>
    <hyperlink ref="A4" r:id="rId3"/>
    <hyperlink ref="A5" r:id="rId4"/>
    <hyperlink ref="A6" r:id="rId5"/>
    <hyperlink ref="A7" r:id="rId6"/>
    <hyperlink ref="A8" r:id="rId7"/>
    <hyperlink ref="A9" r:id="rId8"/>
    <hyperlink ref="A10" r:id="rId9"/>
    <hyperlink ref="A11" r:id="rId10"/>
    <hyperlink ref="A12" r:id="rId11"/>
    <hyperlink ref="A13" r:id="rId12"/>
    <hyperlink ref="A14" r:id="rId13"/>
    <hyperlink ref="A15" r:id="rId14"/>
    <hyperlink ref="A16" r:id="rId15"/>
    <hyperlink ref="A17" r:id="rId16"/>
    <hyperlink ref="A18" r:id="rId17"/>
    <hyperlink ref="A19" r:id="rId18"/>
    <hyperlink ref="A20" r:id="rId19"/>
    <hyperlink ref="A21" r:id="rId20"/>
    <hyperlink ref="A22" r:id="rId21"/>
    <hyperlink ref="A23" r:id="rId22"/>
    <hyperlink ref="A24" r:id="rId23"/>
    <hyperlink ref="A25" r:id="rId24"/>
    <hyperlink ref="A26" r:id="rId25"/>
    <hyperlink ref="A27" r:id="rId26"/>
    <hyperlink ref="A28" r:id="rId27"/>
    <hyperlink ref="A29" r:id="rId28"/>
    <hyperlink ref="A30" r:id="rId29"/>
    <hyperlink ref="A31" r:id="rId30"/>
    <hyperlink ref="A32" r:id="rId31"/>
    <hyperlink ref="A33" r:id="rId32"/>
  </hyperlinks>
  <pageMargins left="0.73" right="0.02" top="0.03" bottom="0.41" header="0.01" footer="0.35"/>
  <pageSetup scale="40" orientation="landscape" r:id="rId33"/>
  <headerFooter alignWithMargins="0">
    <oddFooter>&amp;L&amp;A&amp;C&amp;P of &amp;N&amp;Rlast printed on &amp;D</oddFooter>
  </headerFooter>
  <legacyDrawing r:id="rId3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indexed="14"/>
    <pageSetUpPr fitToPage="1"/>
  </sheetPr>
  <dimension ref="A1:R3"/>
  <sheetViews>
    <sheetView zoomScale="75" zoomScaleNormal="50" zoomScaleSheetLayoutView="75" workbookViewId="0">
      <selection activeCell="A2" sqref="A2"/>
    </sheetView>
  </sheetViews>
  <sheetFormatPr defaultRowHeight="15" x14ac:dyDescent="0.2"/>
  <cols>
    <col min="1" max="1" width="18" style="1" bestFit="1" customWidth="1"/>
    <col min="2" max="2" width="21.5703125" style="2" customWidth="1"/>
    <col min="3" max="3" width="15.7109375" style="1" customWidth="1"/>
    <col min="4" max="4" width="13.28515625" style="1" customWidth="1"/>
    <col min="5" max="5" width="60.85546875" style="1" customWidth="1"/>
    <col min="6" max="6" width="6.42578125" style="4" customWidth="1"/>
    <col min="7" max="7" width="13.42578125" style="21" customWidth="1"/>
    <col min="8" max="8" width="14.42578125" style="21" customWidth="1"/>
    <col min="9" max="9" width="13.7109375" style="26" customWidth="1"/>
    <col min="10" max="10" width="15" style="97" customWidth="1"/>
    <col min="11" max="11" width="14.5703125" style="97" customWidth="1"/>
    <col min="12" max="12" width="12.140625" style="94" customWidth="1"/>
    <col min="13" max="13" width="16.42578125" style="97" customWidth="1"/>
    <col min="14" max="14" width="14.7109375" style="97" customWidth="1"/>
    <col min="15" max="15" width="14.42578125" style="97" customWidth="1"/>
    <col min="16" max="16" width="11.5703125" style="97" customWidth="1"/>
    <col min="17" max="17" width="44.5703125" style="1" customWidth="1"/>
    <col min="18" max="18" width="6.140625" style="1" bestFit="1" customWidth="1"/>
    <col min="19" max="16384" width="9.140625" style="1"/>
  </cols>
  <sheetData>
    <row r="1" spans="1:18" ht="45" x14ac:dyDescent="0.2">
      <c r="A1" s="16" t="s">
        <v>20</v>
      </c>
      <c r="B1" s="16" t="s">
        <v>47</v>
      </c>
      <c r="C1" s="16" t="s">
        <v>46</v>
      </c>
      <c r="D1" s="96" t="s">
        <v>48</v>
      </c>
      <c r="E1" s="16" t="s">
        <v>9</v>
      </c>
      <c r="F1" s="19" t="s">
        <v>18</v>
      </c>
      <c r="G1" s="19" t="s">
        <v>11</v>
      </c>
      <c r="H1" s="19" t="s">
        <v>10</v>
      </c>
      <c r="I1" s="24" t="s">
        <v>8</v>
      </c>
      <c r="J1" s="22" t="s">
        <v>12</v>
      </c>
      <c r="K1" s="22" t="s">
        <v>15</v>
      </c>
      <c r="L1" s="22" t="s">
        <v>17</v>
      </c>
      <c r="M1" s="19" t="s">
        <v>16</v>
      </c>
      <c r="N1" s="22" t="s">
        <v>13</v>
      </c>
      <c r="O1" s="22" t="s">
        <v>14</v>
      </c>
      <c r="P1" s="19" t="s">
        <v>49</v>
      </c>
      <c r="Q1" s="16" t="s">
        <v>50</v>
      </c>
      <c r="R1" s="25"/>
    </row>
    <row r="2" spans="1:18" x14ac:dyDescent="0.2">
      <c r="A2" s="20"/>
    </row>
    <row r="3" spans="1:18" x14ac:dyDescent="0.2">
      <c r="A3" s="20"/>
    </row>
  </sheetData>
  <pageMargins left="0.73" right="0.02" top="0.03" bottom="0.41" header="0.01" footer="0.35"/>
  <pageSetup scale="40" orientation="landscape" r:id="rId1"/>
  <headerFooter alignWithMargins="0">
    <oddFooter>&amp;L&amp;A&amp;C&amp;P of &amp;N&amp;Rlast printed on &amp;D</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11"/>
    <pageSetUpPr fitToPage="1"/>
  </sheetPr>
  <dimension ref="A1:S317"/>
  <sheetViews>
    <sheetView topLeftCell="B1" zoomScale="60" zoomScaleNormal="60" workbookViewId="0">
      <pane ySplit="1" topLeftCell="A2" activePane="bottomLeft" state="frozen"/>
      <selection pane="bottomLeft" activeCell="I317" sqref="I317"/>
    </sheetView>
  </sheetViews>
  <sheetFormatPr defaultRowHeight="15" customHeight="1" x14ac:dyDescent="0.35"/>
  <cols>
    <col min="1" max="1" width="18" style="1" hidden="1" customWidth="1"/>
    <col min="2" max="2" width="32.7109375" style="23" customWidth="1"/>
    <col min="3" max="3" width="16.28515625" style="1" customWidth="1"/>
    <col min="4" max="4" width="14" style="1" customWidth="1"/>
    <col min="5" max="5" width="60.85546875" style="1" customWidth="1"/>
    <col min="6" max="6" width="6.42578125" style="4" customWidth="1"/>
    <col min="7" max="8" width="15" style="1" customWidth="1"/>
    <col min="9" max="9" width="15" style="3" customWidth="1"/>
    <col min="10" max="11" width="15" style="98" customWidth="1"/>
    <col min="12" max="12" width="15" style="93" customWidth="1"/>
    <col min="13" max="15" width="15" style="98" customWidth="1"/>
    <col min="16" max="16" width="15.7109375" style="98" customWidth="1"/>
    <col min="17" max="17" width="65.28515625" style="1" customWidth="1"/>
    <col min="18" max="18" width="46.140625" style="1" bestFit="1" customWidth="1"/>
    <col min="19" max="19" width="13.7109375" style="1" bestFit="1" customWidth="1"/>
    <col min="20" max="16384" width="9.140625" style="1"/>
  </cols>
  <sheetData>
    <row r="1" spans="1:19" s="20" customFormat="1" ht="30" x14ac:dyDescent="0.2">
      <c r="A1" s="16" t="s">
        <v>20</v>
      </c>
      <c r="B1" s="16" t="s">
        <v>47</v>
      </c>
      <c r="C1" s="16" t="s">
        <v>46</v>
      </c>
      <c r="D1" s="16" t="s">
        <v>48</v>
      </c>
      <c r="E1" s="16" t="s">
        <v>9</v>
      </c>
      <c r="F1" s="19" t="s">
        <v>18</v>
      </c>
      <c r="G1" s="19" t="s">
        <v>11</v>
      </c>
      <c r="H1" s="19" t="s">
        <v>10</v>
      </c>
      <c r="I1" s="24" t="s">
        <v>8</v>
      </c>
      <c r="J1" s="22" t="s">
        <v>12</v>
      </c>
      <c r="K1" s="22" t="s">
        <v>15</v>
      </c>
      <c r="L1" s="22" t="s">
        <v>17</v>
      </c>
      <c r="M1" s="19" t="s">
        <v>16</v>
      </c>
      <c r="N1" s="22" t="s">
        <v>13</v>
      </c>
      <c r="O1" s="22" t="s">
        <v>14</v>
      </c>
      <c r="P1" s="19" t="s">
        <v>49</v>
      </c>
      <c r="Q1" s="16" t="s">
        <v>50</v>
      </c>
      <c r="R1" s="16" t="s">
        <v>343</v>
      </c>
      <c r="S1" s="16" t="s">
        <v>808</v>
      </c>
    </row>
    <row r="2" spans="1:19" s="20" customFormat="1" ht="90" x14ac:dyDescent="0.2">
      <c r="A2" s="121" t="s">
        <v>344</v>
      </c>
      <c r="B2" s="122">
        <v>1080578743</v>
      </c>
      <c r="C2" s="123">
        <v>1080578650</v>
      </c>
      <c r="D2" s="123">
        <v>900</v>
      </c>
      <c r="E2" s="124" t="s">
        <v>345</v>
      </c>
      <c r="F2" s="125">
        <v>52</v>
      </c>
      <c r="G2" s="126">
        <v>40721</v>
      </c>
      <c r="H2" s="127">
        <v>40847</v>
      </c>
      <c r="I2" s="128">
        <f t="shared" ref="I2:I33" ca="1" si="0">IF(H2&lt;&gt;0,NETWORKDAYS(TODAY(),H2),"")</f>
        <v>-785</v>
      </c>
      <c r="J2" s="126" t="s">
        <v>89</v>
      </c>
      <c r="K2" s="126" t="s">
        <v>89</v>
      </c>
      <c r="L2" s="126" t="s">
        <v>89</v>
      </c>
      <c r="M2" s="126" t="s">
        <v>89</v>
      </c>
      <c r="N2" s="126" t="s">
        <v>88</v>
      </c>
      <c r="O2" s="126" t="s">
        <v>88</v>
      </c>
      <c r="P2" s="126">
        <v>40948</v>
      </c>
      <c r="Q2" s="129" t="s">
        <v>346</v>
      </c>
      <c r="R2" s="130" t="s">
        <v>347</v>
      </c>
      <c r="S2" s="18" t="s">
        <v>128</v>
      </c>
    </row>
    <row r="3" spans="1:19" s="20" customFormat="1" ht="144" x14ac:dyDescent="0.2">
      <c r="A3" s="121" t="s">
        <v>348</v>
      </c>
      <c r="B3" s="122">
        <v>1080579137</v>
      </c>
      <c r="C3" s="123">
        <v>1080579016</v>
      </c>
      <c r="D3" s="123">
        <v>211</v>
      </c>
      <c r="E3" s="124" t="s">
        <v>349</v>
      </c>
      <c r="F3" s="125">
        <v>34</v>
      </c>
      <c r="G3" s="126">
        <v>40801</v>
      </c>
      <c r="H3" s="127">
        <v>40862</v>
      </c>
      <c r="I3" s="128">
        <f t="shared" ca="1" si="0"/>
        <v>-774</v>
      </c>
      <c r="J3" s="126" t="s">
        <v>89</v>
      </c>
      <c r="K3" s="126" t="s">
        <v>88</v>
      </c>
      <c r="L3" s="126" t="s">
        <v>88</v>
      </c>
      <c r="M3" s="126" t="s">
        <v>89</v>
      </c>
      <c r="N3" s="126" t="s">
        <v>88</v>
      </c>
      <c r="O3" s="126" t="s">
        <v>89</v>
      </c>
      <c r="P3" s="126">
        <v>40948</v>
      </c>
      <c r="Q3" s="129" t="s">
        <v>350</v>
      </c>
      <c r="R3" s="130"/>
      <c r="S3" s="18" t="s">
        <v>128</v>
      </c>
    </row>
    <row r="4" spans="1:19" s="20" customFormat="1" ht="234" x14ac:dyDescent="0.2">
      <c r="A4" s="121" t="s">
        <v>351</v>
      </c>
      <c r="B4" s="122">
        <v>1080579143</v>
      </c>
      <c r="C4" s="123">
        <v>1080579027</v>
      </c>
      <c r="D4" s="123">
        <v>211</v>
      </c>
      <c r="E4" s="124" t="s">
        <v>352</v>
      </c>
      <c r="F4" s="125">
        <v>77</v>
      </c>
      <c r="G4" s="126">
        <v>40801</v>
      </c>
      <c r="H4" s="127">
        <v>40862</v>
      </c>
      <c r="I4" s="128">
        <f t="shared" ca="1" si="0"/>
        <v>-774</v>
      </c>
      <c r="J4" s="126" t="s">
        <v>89</v>
      </c>
      <c r="K4" s="126" t="s">
        <v>89</v>
      </c>
      <c r="L4" s="126" t="s">
        <v>89</v>
      </c>
      <c r="M4" s="126" t="s">
        <v>89</v>
      </c>
      <c r="N4" s="126" t="s">
        <v>88</v>
      </c>
      <c r="O4" s="126" t="s">
        <v>88</v>
      </c>
      <c r="P4" s="126">
        <v>40948</v>
      </c>
      <c r="Q4" s="129" t="s">
        <v>353</v>
      </c>
      <c r="R4" s="130" t="s">
        <v>354</v>
      </c>
      <c r="S4" s="18" t="s">
        <v>128</v>
      </c>
    </row>
    <row r="5" spans="1:19" s="20" customFormat="1" ht="36" x14ac:dyDescent="0.2">
      <c r="A5" s="121" t="s">
        <v>355</v>
      </c>
      <c r="B5" s="122">
        <v>1080579327</v>
      </c>
      <c r="C5" s="123">
        <v>1080579149</v>
      </c>
      <c r="D5" s="123">
        <v>900</v>
      </c>
      <c r="E5" s="124" t="s">
        <v>356</v>
      </c>
      <c r="F5" s="125" t="s">
        <v>357</v>
      </c>
      <c r="G5" s="126">
        <v>40829</v>
      </c>
      <c r="H5" s="127">
        <v>40889</v>
      </c>
      <c r="I5" s="128">
        <f t="shared" ca="1" si="0"/>
        <v>-755</v>
      </c>
      <c r="J5" s="126" t="s">
        <v>89</v>
      </c>
      <c r="K5" s="126" t="s">
        <v>89</v>
      </c>
      <c r="L5" s="126" t="s">
        <v>89</v>
      </c>
      <c r="M5" s="126" t="s">
        <v>89</v>
      </c>
      <c r="N5" s="126" t="s">
        <v>88</v>
      </c>
      <c r="O5" s="126" t="s">
        <v>88</v>
      </c>
      <c r="P5" s="126">
        <v>40948</v>
      </c>
      <c r="Q5" s="129" t="s">
        <v>353</v>
      </c>
      <c r="R5" s="130"/>
      <c r="S5" s="18" t="s">
        <v>128</v>
      </c>
    </row>
    <row r="6" spans="1:19" s="20" customFormat="1" ht="54" x14ac:dyDescent="0.2">
      <c r="A6" s="121" t="s">
        <v>358</v>
      </c>
      <c r="B6" s="122">
        <v>1080579336</v>
      </c>
      <c r="C6" s="123">
        <v>1080578867</v>
      </c>
      <c r="D6" s="123" t="s">
        <v>102</v>
      </c>
      <c r="E6" s="124" t="s">
        <v>359</v>
      </c>
      <c r="F6" s="125">
        <v>89</v>
      </c>
      <c r="G6" s="126">
        <v>40829</v>
      </c>
      <c r="H6" s="127">
        <v>40889</v>
      </c>
      <c r="I6" s="128">
        <f t="shared" ca="1" si="0"/>
        <v>-755</v>
      </c>
      <c r="J6" s="126" t="s">
        <v>88</v>
      </c>
      <c r="K6" s="126" t="s">
        <v>89</v>
      </c>
      <c r="L6" s="126" t="s">
        <v>89</v>
      </c>
      <c r="M6" s="126" t="s">
        <v>89</v>
      </c>
      <c r="N6" s="126" t="s">
        <v>89</v>
      </c>
      <c r="O6" s="126" t="s">
        <v>88</v>
      </c>
      <c r="P6" s="126">
        <v>40948</v>
      </c>
      <c r="Q6" s="129" t="s">
        <v>360</v>
      </c>
      <c r="R6" s="130"/>
      <c r="S6" s="18" t="s">
        <v>128</v>
      </c>
    </row>
    <row r="7" spans="1:19" s="20" customFormat="1" ht="234" x14ac:dyDescent="0.2">
      <c r="A7" s="121" t="s">
        <v>361</v>
      </c>
      <c r="B7" s="122">
        <v>1080579142</v>
      </c>
      <c r="C7" s="123">
        <v>1080578993</v>
      </c>
      <c r="D7" s="123" t="s">
        <v>362</v>
      </c>
      <c r="E7" s="124" t="s">
        <v>363</v>
      </c>
      <c r="F7" s="125" t="s">
        <v>364</v>
      </c>
      <c r="G7" s="126">
        <v>40801</v>
      </c>
      <c r="H7" s="127">
        <v>40862</v>
      </c>
      <c r="I7" s="128">
        <f t="shared" ca="1" si="0"/>
        <v>-774</v>
      </c>
      <c r="J7" s="126" t="s">
        <v>89</v>
      </c>
      <c r="K7" s="126" t="s">
        <v>89</v>
      </c>
      <c r="L7" s="126" t="s">
        <v>89</v>
      </c>
      <c r="M7" s="126" t="s">
        <v>89</v>
      </c>
      <c r="N7" s="126" t="s">
        <v>88</v>
      </c>
      <c r="O7" s="126" t="s">
        <v>88</v>
      </c>
      <c r="P7" s="126">
        <v>40949</v>
      </c>
      <c r="Q7" s="129" t="s">
        <v>365</v>
      </c>
      <c r="R7" s="130"/>
      <c r="S7" s="18" t="s">
        <v>128</v>
      </c>
    </row>
    <row r="8" spans="1:19" s="20" customFormat="1" ht="162" x14ac:dyDescent="0.2">
      <c r="A8" s="121" t="s">
        <v>366</v>
      </c>
      <c r="B8" s="122">
        <v>1080578887</v>
      </c>
      <c r="C8" s="123">
        <v>1080578678</v>
      </c>
      <c r="D8" s="123">
        <v>900</v>
      </c>
      <c r="E8" s="124" t="s">
        <v>367</v>
      </c>
      <c r="F8" s="125" t="s">
        <v>111</v>
      </c>
      <c r="G8" s="126">
        <v>40752</v>
      </c>
      <c r="H8" s="127">
        <v>40816</v>
      </c>
      <c r="I8" s="128">
        <f t="shared" ca="1" si="0"/>
        <v>-806</v>
      </c>
      <c r="J8" s="126" t="s">
        <v>89</v>
      </c>
      <c r="K8" s="126" t="s">
        <v>89</v>
      </c>
      <c r="L8" s="126" t="s">
        <v>89</v>
      </c>
      <c r="M8" s="126" t="s">
        <v>89</v>
      </c>
      <c r="N8" s="126" t="s">
        <v>88</v>
      </c>
      <c r="O8" s="126" t="s">
        <v>88</v>
      </c>
      <c r="P8" s="126">
        <v>40982</v>
      </c>
      <c r="Q8" s="129" t="s">
        <v>368</v>
      </c>
      <c r="R8" s="131"/>
      <c r="S8" s="18" t="s">
        <v>128</v>
      </c>
    </row>
    <row r="9" spans="1:19" s="20" customFormat="1" ht="198" x14ac:dyDescent="0.2">
      <c r="A9" s="121" t="s">
        <v>369</v>
      </c>
      <c r="B9" s="122">
        <v>1080579251</v>
      </c>
      <c r="C9" s="123">
        <v>1080579105</v>
      </c>
      <c r="D9" s="123" t="s">
        <v>370</v>
      </c>
      <c r="E9" s="124" t="s">
        <v>371</v>
      </c>
      <c r="F9" s="125">
        <v>50</v>
      </c>
      <c r="G9" s="126">
        <v>40820</v>
      </c>
      <c r="H9" s="127">
        <v>40882</v>
      </c>
      <c r="I9" s="128">
        <f t="shared" ca="1" si="0"/>
        <v>-760</v>
      </c>
      <c r="J9" s="126" t="s">
        <v>88</v>
      </c>
      <c r="K9" s="126" t="s">
        <v>88</v>
      </c>
      <c r="L9" s="126" t="s">
        <v>88</v>
      </c>
      <c r="M9" s="126" t="s">
        <v>89</v>
      </c>
      <c r="N9" s="126" t="s">
        <v>88</v>
      </c>
      <c r="O9" s="126" t="s">
        <v>88</v>
      </c>
      <c r="P9" s="126">
        <v>40982</v>
      </c>
      <c r="Q9" s="129" t="s">
        <v>372</v>
      </c>
      <c r="R9" s="131" t="s">
        <v>373</v>
      </c>
      <c r="S9" s="18" t="s">
        <v>128</v>
      </c>
    </row>
    <row r="10" spans="1:19" s="20" customFormat="1" ht="54" x14ac:dyDescent="0.2">
      <c r="A10" s="121" t="s">
        <v>374</v>
      </c>
      <c r="B10" s="122">
        <v>1080579292</v>
      </c>
      <c r="C10" s="123">
        <v>1080578994</v>
      </c>
      <c r="D10" s="123" t="s">
        <v>375</v>
      </c>
      <c r="E10" s="124" t="s">
        <v>376</v>
      </c>
      <c r="F10" s="125">
        <v>50</v>
      </c>
      <c r="G10" s="126">
        <v>40823</v>
      </c>
      <c r="H10" s="127">
        <v>40884</v>
      </c>
      <c r="I10" s="128">
        <f t="shared" ca="1" si="0"/>
        <v>-758</v>
      </c>
      <c r="J10" s="126" t="s">
        <v>88</v>
      </c>
      <c r="K10" s="126" t="s">
        <v>88</v>
      </c>
      <c r="L10" s="126" t="s">
        <v>88</v>
      </c>
      <c r="M10" s="126" t="s">
        <v>89</v>
      </c>
      <c r="N10" s="126" t="s">
        <v>88</v>
      </c>
      <c r="O10" s="126" t="s">
        <v>88</v>
      </c>
      <c r="P10" s="126">
        <v>40982</v>
      </c>
      <c r="Q10" s="129" t="s">
        <v>377</v>
      </c>
      <c r="R10" s="131"/>
      <c r="S10" s="18" t="s">
        <v>128</v>
      </c>
    </row>
    <row r="11" spans="1:19" s="20" customFormat="1" ht="108" x14ac:dyDescent="0.2">
      <c r="A11" s="121" t="s">
        <v>378</v>
      </c>
      <c r="B11" s="122">
        <v>1080579553</v>
      </c>
      <c r="C11" s="123">
        <v>1080579430</v>
      </c>
      <c r="D11" s="123" t="s">
        <v>131</v>
      </c>
      <c r="E11" s="124" t="s">
        <v>379</v>
      </c>
      <c r="F11" s="125">
        <v>65</v>
      </c>
      <c r="G11" s="126">
        <v>40877</v>
      </c>
      <c r="H11" s="127">
        <v>40938</v>
      </c>
      <c r="I11" s="128">
        <f t="shared" ca="1" si="0"/>
        <v>-720</v>
      </c>
      <c r="J11" s="126" t="s">
        <v>89</v>
      </c>
      <c r="K11" s="126" t="s">
        <v>89</v>
      </c>
      <c r="L11" s="126" t="s">
        <v>89</v>
      </c>
      <c r="M11" s="126" t="s">
        <v>89</v>
      </c>
      <c r="N11" s="126" t="s">
        <v>88</v>
      </c>
      <c r="O11" s="126" t="s">
        <v>89</v>
      </c>
      <c r="P11" s="126">
        <v>40982</v>
      </c>
      <c r="Q11" s="129" t="s">
        <v>380</v>
      </c>
      <c r="R11" s="131"/>
      <c r="S11" s="18" t="s">
        <v>128</v>
      </c>
    </row>
    <row r="12" spans="1:19" s="20" customFormat="1" ht="216" x14ac:dyDescent="0.2">
      <c r="A12" s="121" t="s">
        <v>381</v>
      </c>
      <c r="B12" s="122">
        <v>1080578900</v>
      </c>
      <c r="C12" s="123" t="s">
        <v>382</v>
      </c>
      <c r="D12" s="123">
        <v>900</v>
      </c>
      <c r="E12" s="124" t="s">
        <v>383</v>
      </c>
      <c r="F12" s="125" t="s">
        <v>357</v>
      </c>
      <c r="G12" s="126">
        <v>40756</v>
      </c>
      <c r="H12" s="127">
        <v>40878</v>
      </c>
      <c r="I12" s="128">
        <f t="shared" ca="1" si="0"/>
        <v>-762</v>
      </c>
      <c r="J12" s="126" t="s">
        <v>88</v>
      </c>
      <c r="K12" s="126" t="s">
        <v>89</v>
      </c>
      <c r="L12" s="126" t="s">
        <v>88</v>
      </c>
      <c r="M12" s="126" t="s">
        <v>89</v>
      </c>
      <c r="N12" s="126" t="s">
        <v>88</v>
      </c>
      <c r="O12" s="126" t="s">
        <v>88</v>
      </c>
      <c r="P12" s="126">
        <v>40997</v>
      </c>
      <c r="Q12" s="129" t="s">
        <v>384</v>
      </c>
      <c r="R12" s="131" t="s">
        <v>385</v>
      </c>
      <c r="S12" s="18" t="s">
        <v>128</v>
      </c>
    </row>
    <row r="13" spans="1:19" s="20" customFormat="1" ht="72" x14ac:dyDescent="0.2">
      <c r="A13" s="121" t="s">
        <v>386</v>
      </c>
      <c r="B13" s="122">
        <v>1080579333</v>
      </c>
      <c r="C13" s="123">
        <v>1080578726</v>
      </c>
      <c r="D13" s="123">
        <v>211</v>
      </c>
      <c r="E13" s="124" t="s">
        <v>387</v>
      </c>
      <c r="F13" s="125">
        <v>77</v>
      </c>
      <c r="G13" s="126">
        <v>40829</v>
      </c>
      <c r="H13" s="127">
        <v>40889</v>
      </c>
      <c r="I13" s="128">
        <f t="shared" ca="1" si="0"/>
        <v>-755</v>
      </c>
      <c r="J13" s="126" t="s">
        <v>89</v>
      </c>
      <c r="K13" s="126" t="s">
        <v>89</v>
      </c>
      <c r="L13" s="126" t="s">
        <v>89</v>
      </c>
      <c r="M13" s="126" t="s">
        <v>89</v>
      </c>
      <c r="N13" s="126" t="s">
        <v>88</v>
      </c>
      <c r="O13" s="126" t="s">
        <v>88</v>
      </c>
      <c r="P13" s="126">
        <v>41004</v>
      </c>
      <c r="Q13" s="129" t="s">
        <v>384</v>
      </c>
      <c r="R13" s="131"/>
      <c r="S13" s="18" t="s">
        <v>128</v>
      </c>
    </row>
    <row r="14" spans="1:19" s="20" customFormat="1" ht="72" x14ac:dyDescent="0.2">
      <c r="A14" s="121" t="s">
        <v>388</v>
      </c>
      <c r="B14" s="122">
        <v>1080579295</v>
      </c>
      <c r="C14" s="123">
        <v>1080578992</v>
      </c>
      <c r="D14" s="123" t="s">
        <v>389</v>
      </c>
      <c r="E14" s="124" t="s">
        <v>390</v>
      </c>
      <c r="F14" s="125">
        <v>58</v>
      </c>
      <c r="G14" s="126">
        <v>40823</v>
      </c>
      <c r="H14" s="127">
        <v>40884</v>
      </c>
      <c r="I14" s="128">
        <f t="shared" ca="1" si="0"/>
        <v>-758</v>
      </c>
      <c r="J14" s="126" t="s">
        <v>89</v>
      </c>
      <c r="K14" s="126" t="s">
        <v>89</v>
      </c>
      <c r="L14" s="126" t="s">
        <v>89</v>
      </c>
      <c r="M14" s="126" t="s">
        <v>89</v>
      </c>
      <c r="N14" s="126" t="s">
        <v>88</v>
      </c>
      <c r="O14" s="126" t="s">
        <v>89</v>
      </c>
      <c r="P14" s="126">
        <v>41004</v>
      </c>
      <c r="Q14" s="129" t="s">
        <v>384</v>
      </c>
      <c r="R14" s="131"/>
      <c r="S14" s="18" t="s">
        <v>128</v>
      </c>
    </row>
    <row r="15" spans="1:19" s="20" customFormat="1" ht="54" x14ac:dyDescent="0.2">
      <c r="A15" s="121" t="s">
        <v>391</v>
      </c>
      <c r="B15" s="122">
        <v>1080579031</v>
      </c>
      <c r="C15" s="123">
        <v>1080578641</v>
      </c>
      <c r="D15" s="123" t="s">
        <v>392</v>
      </c>
      <c r="E15" s="124" t="s">
        <v>393</v>
      </c>
      <c r="F15" s="125">
        <v>90</v>
      </c>
      <c r="G15" s="126">
        <v>40786</v>
      </c>
      <c r="H15" s="127">
        <v>40847</v>
      </c>
      <c r="I15" s="128">
        <f t="shared" ca="1" si="0"/>
        <v>-785</v>
      </c>
      <c r="J15" s="126" t="s">
        <v>89</v>
      </c>
      <c r="K15" s="126" t="s">
        <v>89</v>
      </c>
      <c r="L15" s="126" t="s">
        <v>88</v>
      </c>
      <c r="M15" s="126" t="s">
        <v>89</v>
      </c>
      <c r="N15" s="126" t="s">
        <v>88</v>
      </c>
      <c r="O15" s="126" t="s">
        <v>88</v>
      </c>
      <c r="P15" s="126">
        <v>41004</v>
      </c>
      <c r="Q15" s="129" t="s">
        <v>365</v>
      </c>
      <c r="R15" s="131"/>
      <c r="S15" s="18" t="s">
        <v>128</v>
      </c>
    </row>
    <row r="16" spans="1:19" s="20" customFormat="1" ht="90" x14ac:dyDescent="0.2">
      <c r="A16" s="121" t="s">
        <v>394</v>
      </c>
      <c r="B16" s="122">
        <v>1080579585</v>
      </c>
      <c r="C16" s="123">
        <v>1080579130</v>
      </c>
      <c r="D16" s="123">
        <v>900</v>
      </c>
      <c r="E16" s="124" t="s">
        <v>395</v>
      </c>
      <c r="F16" s="125" t="s">
        <v>357</v>
      </c>
      <c r="G16" s="126">
        <v>40879</v>
      </c>
      <c r="H16" s="127">
        <v>40942</v>
      </c>
      <c r="I16" s="128">
        <f t="shared" ca="1" si="0"/>
        <v>-716</v>
      </c>
      <c r="J16" s="126" t="s">
        <v>88</v>
      </c>
      <c r="K16" s="126" t="s">
        <v>89</v>
      </c>
      <c r="L16" s="126" t="s">
        <v>89</v>
      </c>
      <c r="M16" s="126" t="s">
        <v>89</v>
      </c>
      <c r="N16" s="126" t="s">
        <v>88</v>
      </c>
      <c r="O16" s="126" t="s">
        <v>89</v>
      </c>
      <c r="P16" s="126">
        <v>41004</v>
      </c>
      <c r="Q16" s="129" t="s">
        <v>396</v>
      </c>
      <c r="R16" s="131"/>
      <c r="S16" s="18" t="s">
        <v>128</v>
      </c>
    </row>
    <row r="17" spans="1:19" s="20" customFormat="1" ht="36" x14ac:dyDescent="0.2">
      <c r="A17" s="121" t="s">
        <v>397</v>
      </c>
      <c r="B17" s="122">
        <v>1080578571</v>
      </c>
      <c r="C17" s="123">
        <v>1080577099</v>
      </c>
      <c r="D17" s="123" t="s">
        <v>398</v>
      </c>
      <c r="E17" s="124" t="s">
        <v>399</v>
      </c>
      <c r="F17" s="125" t="s">
        <v>400</v>
      </c>
      <c r="G17" s="126">
        <v>40686</v>
      </c>
      <c r="H17" s="127">
        <v>40746</v>
      </c>
      <c r="I17" s="128">
        <f t="shared" ca="1" si="0"/>
        <v>-856</v>
      </c>
      <c r="J17" s="126" t="s">
        <v>88</v>
      </c>
      <c r="K17" s="126" t="s">
        <v>88</v>
      </c>
      <c r="L17" s="126" t="s">
        <v>88</v>
      </c>
      <c r="M17" s="126" t="s">
        <v>89</v>
      </c>
      <c r="N17" s="126" t="s">
        <v>89</v>
      </c>
      <c r="O17" s="126" t="s">
        <v>88</v>
      </c>
      <c r="P17" s="126">
        <v>41036</v>
      </c>
      <c r="Q17" s="129" t="s">
        <v>401</v>
      </c>
      <c r="R17" s="131"/>
      <c r="S17" s="18" t="s">
        <v>128</v>
      </c>
    </row>
    <row r="18" spans="1:19" s="20" customFormat="1" ht="36" x14ac:dyDescent="0.2">
      <c r="A18" s="121" t="s">
        <v>402</v>
      </c>
      <c r="B18" s="122">
        <v>1080579334</v>
      </c>
      <c r="C18" s="123">
        <v>1080579218</v>
      </c>
      <c r="D18" s="123" t="s">
        <v>403</v>
      </c>
      <c r="E18" s="124" t="s">
        <v>404</v>
      </c>
      <c r="F18" s="125" t="s">
        <v>405</v>
      </c>
      <c r="G18" s="126">
        <v>40829</v>
      </c>
      <c r="H18" s="127">
        <v>40889</v>
      </c>
      <c r="I18" s="128">
        <f t="shared" ca="1" si="0"/>
        <v>-755</v>
      </c>
      <c r="J18" s="126" t="s">
        <v>89</v>
      </c>
      <c r="K18" s="126" t="s">
        <v>88</v>
      </c>
      <c r="L18" s="126" t="s">
        <v>89</v>
      </c>
      <c r="M18" s="126" t="s">
        <v>89</v>
      </c>
      <c r="N18" s="126" t="s">
        <v>88</v>
      </c>
      <c r="O18" s="126" t="s">
        <v>88</v>
      </c>
      <c r="P18" s="126">
        <v>41036</v>
      </c>
      <c r="Q18" s="129" t="s">
        <v>406</v>
      </c>
      <c r="R18" s="131"/>
      <c r="S18" s="18" t="s">
        <v>128</v>
      </c>
    </row>
    <row r="19" spans="1:19" s="20" customFormat="1" ht="54" x14ac:dyDescent="0.2">
      <c r="A19" s="121" t="s">
        <v>407</v>
      </c>
      <c r="B19" s="122">
        <v>1080579404</v>
      </c>
      <c r="C19" s="123">
        <v>1080579287</v>
      </c>
      <c r="D19" s="123" t="s">
        <v>102</v>
      </c>
      <c r="E19" s="124" t="s">
        <v>408</v>
      </c>
      <c r="F19" s="125">
        <v>89</v>
      </c>
      <c r="G19" s="126">
        <v>40848</v>
      </c>
      <c r="H19" s="127">
        <v>40914</v>
      </c>
      <c r="I19" s="128">
        <f t="shared" ca="1" si="0"/>
        <v>-736</v>
      </c>
      <c r="J19" s="126" t="s">
        <v>89</v>
      </c>
      <c r="K19" s="126" t="s">
        <v>89</v>
      </c>
      <c r="L19" s="126" t="s">
        <v>89</v>
      </c>
      <c r="M19" s="126" t="s">
        <v>89</v>
      </c>
      <c r="N19" s="126" t="s">
        <v>88</v>
      </c>
      <c r="O19" s="126" t="s">
        <v>88</v>
      </c>
      <c r="P19" s="126">
        <v>41036</v>
      </c>
      <c r="Q19" s="129" t="s">
        <v>409</v>
      </c>
      <c r="R19" s="131"/>
      <c r="S19" s="18" t="s">
        <v>128</v>
      </c>
    </row>
    <row r="20" spans="1:19" s="20" customFormat="1" ht="108" x14ac:dyDescent="0.2">
      <c r="A20" s="121" t="s">
        <v>410</v>
      </c>
      <c r="B20" s="122">
        <v>1080579517</v>
      </c>
      <c r="C20" s="123">
        <v>1080579391</v>
      </c>
      <c r="D20" s="123">
        <v>211</v>
      </c>
      <c r="E20" s="124" t="s">
        <v>411</v>
      </c>
      <c r="F20" s="125">
        <v>50</v>
      </c>
      <c r="G20" s="126">
        <v>40870</v>
      </c>
      <c r="H20" s="127">
        <v>40931</v>
      </c>
      <c r="I20" s="128">
        <f t="shared" ca="1" si="0"/>
        <v>-725</v>
      </c>
      <c r="J20" s="126" t="s">
        <v>89</v>
      </c>
      <c r="K20" s="126" t="s">
        <v>88</v>
      </c>
      <c r="L20" s="126" t="s">
        <v>89</v>
      </c>
      <c r="M20" s="126" t="s">
        <v>89</v>
      </c>
      <c r="N20" s="126" t="s">
        <v>88</v>
      </c>
      <c r="O20" s="126" t="s">
        <v>88</v>
      </c>
      <c r="P20" s="126">
        <v>41036</v>
      </c>
      <c r="Q20" s="129" t="s">
        <v>409</v>
      </c>
      <c r="R20" s="131"/>
      <c r="S20" s="18" t="s">
        <v>128</v>
      </c>
    </row>
    <row r="21" spans="1:19" s="20" customFormat="1" ht="234" x14ac:dyDescent="0.2">
      <c r="A21" s="121" t="s">
        <v>412</v>
      </c>
      <c r="B21" s="122">
        <v>1080579548</v>
      </c>
      <c r="C21" s="123">
        <v>1080579394</v>
      </c>
      <c r="D21" s="123" t="s">
        <v>96</v>
      </c>
      <c r="E21" s="124" t="s">
        <v>413</v>
      </c>
      <c r="F21" s="125">
        <v>63</v>
      </c>
      <c r="G21" s="126">
        <v>40876</v>
      </c>
      <c r="H21" s="127">
        <v>41015</v>
      </c>
      <c r="I21" s="128">
        <f t="shared" ca="1" si="0"/>
        <v>-665</v>
      </c>
      <c r="J21" s="126" t="s">
        <v>89</v>
      </c>
      <c r="K21" s="126" t="s">
        <v>89</v>
      </c>
      <c r="L21" s="126" t="s">
        <v>89</v>
      </c>
      <c r="M21" s="126" t="s">
        <v>89</v>
      </c>
      <c r="N21" s="126" t="s">
        <v>89</v>
      </c>
      <c r="O21" s="126" t="s">
        <v>89</v>
      </c>
      <c r="P21" s="126">
        <v>41036</v>
      </c>
      <c r="Q21" s="129" t="s">
        <v>414</v>
      </c>
      <c r="R21" s="131"/>
      <c r="S21" s="18" t="s">
        <v>128</v>
      </c>
    </row>
    <row r="22" spans="1:19" s="20" customFormat="1" ht="180" x14ac:dyDescent="0.2">
      <c r="A22" s="121" t="s">
        <v>415</v>
      </c>
      <c r="B22" s="122">
        <v>1080579692</v>
      </c>
      <c r="C22" s="123">
        <v>1080579554</v>
      </c>
      <c r="D22" s="123" t="s">
        <v>416</v>
      </c>
      <c r="E22" s="124" t="s">
        <v>417</v>
      </c>
      <c r="F22" s="125" t="s">
        <v>418</v>
      </c>
      <c r="G22" s="126">
        <v>40898</v>
      </c>
      <c r="H22" s="127">
        <v>40960</v>
      </c>
      <c r="I22" s="128">
        <f t="shared" ca="1" si="0"/>
        <v>-704</v>
      </c>
      <c r="J22" s="126" t="s">
        <v>88</v>
      </c>
      <c r="K22" s="126" t="s">
        <v>88</v>
      </c>
      <c r="L22" s="126" t="s">
        <v>89</v>
      </c>
      <c r="M22" s="126" t="s">
        <v>89</v>
      </c>
      <c r="N22" s="126" t="s">
        <v>88</v>
      </c>
      <c r="O22" s="126" t="s">
        <v>88</v>
      </c>
      <c r="P22" s="126">
        <v>41036</v>
      </c>
      <c r="Q22" s="129" t="s">
        <v>419</v>
      </c>
      <c r="R22" s="131"/>
      <c r="S22" s="18" t="s">
        <v>128</v>
      </c>
    </row>
    <row r="23" spans="1:19" s="20" customFormat="1" ht="144" x14ac:dyDescent="0.2">
      <c r="A23" s="121" t="s">
        <v>420</v>
      </c>
      <c r="B23" s="122">
        <v>1080579698</v>
      </c>
      <c r="C23" s="123">
        <v>1080579510</v>
      </c>
      <c r="D23" s="123" t="s">
        <v>134</v>
      </c>
      <c r="E23" s="124" t="s">
        <v>421</v>
      </c>
      <c r="F23" s="125" t="s">
        <v>157</v>
      </c>
      <c r="G23" s="126">
        <v>40899</v>
      </c>
      <c r="H23" s="127">
        <v>41281</v>
      </c>
      <c r="I23" s="128">
        <f t="shared" ca="1" si="0"/>
        <v>-475</v>
      </c>
      <c r="J23" s="126" t="s">
        <v>89</v>
      </c>
      <c r="K23" s="126" t="s">
        <v>89</v>
      </c>
      <c r="L23" s="126" t="s">
        <v>88</v>
      </c>
      <c r="M23" s="126" t="s">
        <v>89</v>
      </c>
      <c r="N23" s="126" t="s">
        <v>88</v>
      </c>
      <c r="O23" s="126" t="s">
        <v>89</v>
      </c>
      <c r="P23" s="126">
        <v>41036</v>
      </c>
      <c r="Q23" s="129" t="s">
        <v>422</v>
      </c>
      <c r="R23" s="131"/>
      <c r="S23" s="18" t="s">
        <v>128</v>
      </c>
    </row>
    <row r="24" spans="1:19" s="20" customFormat="1" ht="270" x14ac:dyDescent="0.2">
      <c r="A24" s="121" t="s">
        <v>423</v>
      </c>
      <c r="B24" s="122">
        <v>1080579580</v>
      </c>
      <c r="C24" s="123">
        <v>1080579418</v>
      </c>
      <c r="D24" s="123" t="s">
        <v>102</v>
      </c>
      <c r="E24" s="124" t="s">
        <v>424</v>
      </c>
      <c r="F24" s="125">
        <v>89</v>
      </c>
      <c r="G24" s="126">
        <v>40879</v>
      </c>
      <c r="H24" s="127">
        <v>40942</v>
      </c>
      <c r="I24" s="128">
        <f t="shared" ca="1" si="0"/>
        <v>-716</v>
      </c>
      <c r="J24" s="126" t="s">
        <v>89</v>
      </c>
      <c r="K24" s="126" t="s">
        <v>89</v>
      </c>
      <c r="L24" s="126" t="s">
        <v>89</v>
      </c>
      <c r="M24" s="126" t="s">
        <v>89</v>
      </c>
      <c r="N24" s="126" t="s">
        <v>88</v>
      </c>
      <c r="O24" s="126" t="s">
        <v>89</v>
      </c>
      <c r="P24" s="126">
        <v>41036</v>
      </c>
      <c r="Q24" s="129" t="s">
        <v>425</v>
      </c>
      <c r="R24" s="131"/>
      <c r="S24" s="18" t="s">
        <v>128</v>
      </c>
    </row>
    <row r="25" spans="1:19" s="20" customFormat="1" ht="90" x14ac:dyDescent="0.2">
      <c r="A25" s="121" t="s">
        <v>426</v>
      </c>
      <c r="B25" s="122">
        <v>1080578427</v>
      </c>
      <c r="C25" s="123">
        <v>1080578288</v>
      </c>
      <c r="D25" s="123">
        <v>211</v>
      </c>
      <c r="E25" s="124" t="s">
        <v>427</v>
      </c>
      <c r="F25" s="125">
        <v>77</v>
      </c>
      <c r="G25" s="126">
        <v>40659</v>
      </c>
      <c r="H25" s="127">
        <v>40721</v>
      </c>
      <c r="I25" s="128">
        <f t="shared" ca="1" si="0"/>
        <v>-875</v>
      </c>
      <c r="J25" s="126" t="s">
        <v>89</v>
      </c>
      <c r="K25" s="126" t="s">
        <v>89</v>
      </c>
      <c r="L25" s="126" t="s">
        <v>88</v>
      </c>
      <c r="M25" s="126" t="s">
        <v>89</v>
      </c>
      <c r="N25" s="126" t="s">
        <v>88</v>
      </c>
      <c r="O25" s="126" t="s">
        <v>89</v>
      </c>
      <c r="P25" s="126">
        <v>41060</v>
      </c>
      <c r="Q25" s="129" t="s">
        <v>428</v>
      </c>
      <c r="R25" s="131"/>
      <c r="S25" s="18" t="s">
        <v>128</v>
      </c>
    </row>
    <row r="26" spans="1:19" s="20" customFormat="1" ht="162" x14ac:dyDescent="0.2">
      <c r="A26" s="121" t="s">
        <v>429</v>
      </c>
      <c r="B26" s="132">
        <v>1080578639</v>
      </c>
      <c r="C26" s="133">
        <v>1080578108</v>
      </c>
      <c r="D26" s="133" t="s">
        <v>430</v>
      </c>
      <c r="E26" s="134" t="s">
        <v>431</v>
      </c>
      <c r="F26" s="135">
        <v>37</v>
      </c>
      <c r="G26" s="136">
        <v>40701</v>
      </c>
      <c r="H26" s="137">
        <v>40844</v>
      </c>
      <c r="I26" s="138">
        <f t="shared" ca="1" si="0"/>
        <v>-786</v>
      </c>
      <c r="J26" s="136" t="s">
        <v>88</v>
      </c>
      <c r="K26" s="136" t="s">
        <v>88</v>
      </c>
      <c r="L26" s="136" t="s">
        <v>88</v>
      </c>
      <c r="M26" s="136" t="s">
        <v>89</v>
      </c>
      <c r="N26" s="136" t="s">
        <v>88</v>
      </c>
      <c r="O26" s="136" t="s">
        <v>88</v>
      </c>
      <c r="P26" s="136">
        <v>41060</v>
      </c>
      <c r="Q26" s="139" t="s">
        <v>428</v>
      </c>
      <c r="R26" s="131" t="s">
        <v>432</v>
      </c>
      <c r="S26" s="18" t="s">
        <v>128</v>
      </c>
    </row>
    <row r="27" spans="1:19" s="20" customFormat="1" ht="144" x14ac:dyDescent="0.2">
      <c r="A27" s="121" t="s">
        <v>433</v>
      </c>
      <c r="B27" s="122">
        <v>1080579296</v>
      </c>
      <c r="C27" s="123">
        <v>1080579223</v>
      </c>
      <c r="D27" s="123" t="s">
        <v>430</v>
      </c>
      <c r="E27" s="124" t="s">
        <v>434</v>
      </c>
      <c r="F27" s="125">
        <v>37</v>
      </c>
      <c r="G27" s="126">
        <v>40823</v>
      </c>
      <c r="H27" s="127">
        <v>40884</v>
      </c>
      <c r="I27" s="128">
        <f t="shared" ca="1" si="0"/>
        <v>-758</v>
      </c>
      <c r="J27" s="126" t="s">
        <v>89</v>
      </c>
      <c r="K27" s="126" t="s">
        <v>89</v>
      </c>
      <c r="L27" s="126" t="s">
        <v>89</v>
      </c>
      <c r="M27" s="126" t="s">
        <v>89</v>
      </c>
      <c r="N27" s="126" t="s">
        <v>88</v>
      </c>
      <c r="O27" s="126" t="s">
        <v>88</v>
      </c>
      <c r="P27" s="126">
        <v>41065</v>
      </c>
      <c r="Q27" s="129" t="s">
        <v>435</v>
      </c>
      <c r="R27" s="131"/>
      <c r="S27" s="18" t="s">
        <v>128</v>
      </c>
    </row>
    <row r="28" spans="1:19" s="20" customFormat="1" ht="90" x14ac:dyDescent="0.2">
      <c r="A28" s="121" t="s">
        <v>436</v>
      </c>
      <c r="B28" s="122">
        <v>1080579233</v>
      </c>
      <c r="C28" s="123">
        <v>1080578906</v>
      </c>
      <c r="D28" s="123" t="s">
        <v>437</v>
      </c>
      <c r="E28" s="124" t="s">
        <v>438</v>
      </c>
      <c r="F28" s="125">
        <v>58</v>
      </c>
      <c r="G28" s="126">
        <v>40819</v>
      </c>
      <c r="H28" s="127">
        <v>40880</v>
      </c>
      <c r="I28" s="128">
        <f t="shared" ca="1" si="0"/>
        <v>-760</v>
      </c>
      <c r="J28" s="126" t="s">
        <v>89</v>
      </c>
      <c r="K28" s="126" t="s">
        <v>88</v>
      </c>
      <c r="L28" s="126" t="s">
        <v>89</v>
      </c>
      <c r="M28" s="126" t="s">
        <v>89</v>
      </c>
      <c r="N28" s="126" t="s">
        <v>89</v>
      </c>
      <c r="O28" s="126" t="s">
        <v>89</v>
      </c>
      <c r="P28" s="126">
        <v>41065</v>
      </c>
      <c r="Q28" s="129" t="s">
        <v>439</v>
      </c>
      <c r="R28" s="131"/>
      <c r="S28" s="18" t="s">
        <v>128</v>
      </c>
    </row>
    <row r="29" spans="1:19" s="20" customFormat="1" ht="90" x14ac:dyDescent="0.2">
      <c r="A29" s="121" t="s">
        <v>440</v>
      </c>
      <c r="B29" s="122">
        <v>1080579046</v>
      </c>
      <c r="C29" s="123">
        <v>1080578695</v>
      </c>
      <c r="D29" s="123" t="s">
        <v>430</v>
      </c>
      <c r="E29" s="124" t="s">
        <v>441</v>
      </c>
      <c r="F29" s="125">
        <v>37</v>
      </c>
      <c r="G29" s="126">
        <v>40787</v>
      </c>
      <c r="H29" s="127">
        <v>40848</v>
      </c>
      <c r="I29" s="128">
        <f t="shared" ca="1" si="0"/>
        <v>-784</v>
      </c>
      <c r="J29" s="126" t="s">
        <v>89</v>
      </c>
      <c r="K29" s="126" t="s">
        <v>89</v>
      </c>
      <c r="L29" s="126" t="s">
        <v>89</v>
      </c>
      <c r="M29" s="126" t="s">
        <v>89</v>
      </c>
      <c r="N29" s="126" t="s">
        <v>88</v>
      </c>
      <c r="O29" s="126" t="s">
        <v>88</v>
      </c>
      <c r="P29" s="126">
        <v>41065</v>
      </c>
      <c r="Q29" s="129" t="s">
        <v>435</v>
      </c>
      <c r="R29" s="131"/>
      <c r="S29" s="18" t="s">
        <v>128</v>
      </c>
    </row>
    <row r="30" spans="1:19" s="20" customFormat="1" ht="54" x14ac:dyDescent="0.2">
      <c r="A30" s="121" t="s">
        <v>442</v>
      </c>
      <c r="B30" s="122">
        <v>1080579041</v>
      </c>
      <c r="C30" s="123">
        <v>1080578903</v>
      </c>
      <c r="D30" s="123" t="s">
        <v>96</v>
      </c>
      <c r="E30" s="124" t="s">
        <v>443</v>
      </c>
      <c r="F30" s="125" t="s">
        <v>111</v>
      </c>
      <c r="G30" s="126">
        <v>40787</v>
      </c>
      <c r="H30" s="127">
        <v>40848</v>
      </c>
      <c r="I30" s="128">
        <f t="shared" ca="1" si="0"/>
        <v>-784</v>
      </c>
      <c r="J30" s="126" t="s">
        <v>88</v>
      </c>
      <c r="K30" s="126" t="s">
        <v>88</v>
      </c>
      <c r="L30" s="126" t="s">
        <v>89</v>
      </c>
      <c r="M30" s="126" t="s">
        <v>89</v>
      </c>
      <c r="N30" s="126" t="s">
        <v>88</v>
      </c>
      <c r="O30" s="126" t="s">
        <v>88</v>
      </c>
      <c r="P30" s="126">
        <v>41065</v>
      </c>
      <c r="Q30" s="129" t="s">
        <v>439</v>
      </c>
      <c r="R30" s="131" t="s">
        <v>444</v>
      </c>
      <c r="S30" s="18" t="s">
        <v>128</v>
      </c>
    </row>
    <row r="31" spans="1:19" s="20" customFormat="1" ht="144" x14ac:dyDescent="0.2">
      <c r="A31" s="121" t="s">
        <v>445</v>
      </c>
      <c r="B31" s="122">
        <v>1080579040</v>
      </c>
      <c r="C31" s="123">
        <v>1080578936</v>
      </c>
      <c r="D31" s="123">
        <v>211</v>
      </c>
      <c r="E31" s="124" t="s">
        <v>446</v>
      </c>
      <c r="F31" s="125">
        <v>34</v>
      </c>
      <c r="G31" s="126">
        <v>40787</v>
      </c>
      <c r="H31" s="127">
        <v>40848</v>
      </c>
      <c r="I31" s="128">
        <f t="shared" ca="1" si="0"/>
        <v>-784</v>
      </c>
      <c r="J31" s="126" t="s">
        <v>88</v>
      </c>
      <c r="K31" s="126" t="s">
        <v>88</v>
      </c>
      <c r="L31" s="126" t="s">
        <v>89</v>
      </c>
      <c r="M31" s="126" t="s">
        <v>89</v>
      </c>
      <c r="N31" s="126" t="s">
        <v>88</v>
      </c>
      <c r="O31" s="126" t="s">
        <v>88</v>
      </c>
      <c r="P31" s="126">
        <v>41065</v>
      </c>
      <c r="Q31" s="129" t="s">
        <v>435</v>
      </c>
      <c r="R31" s="131"/>
      <c r="S31" s="18" t="s">
        <v>128</v>
      </c>
    </row>
    <row r="32" spans="1:19" s="20" customFormat="1" ht="72" x14ac:dyDescent="0.2">
      <c r="A32" s="121" t="s">
        <v>447</v>
      </c>
      <c r="B32" s="122">
        <v>1080578820</v>
      </c>
      <c r="C32" s="123">
        <v>1080578702</v>
      </c>
      <c r="D32" s="123" t="s">
        <v>448</v>
      </c>
      <c r="E32" s="124" t="s">
        <v>449</v>
      </c>
      <c r="F32" s="125" t="s">
        <v>450</v>
      </c>
      <c r="G32" s="126">
        <v>40743</v>
      </c>
      <c r="H32" s="127">
        <v>40899</v>
      </c>
      <c r="I32" s="128">
        <f t="shared" ca="1" si="0"/>
        <v>-747</v>
      </c>
      <c r="J32" s="126" t="s">
        <v>88</v>
      </c>
      <c r="K32" s="126" t="s">
        <v>88</v>
      </c>
      <c r="L32" s="126" t="s">
        <v>88</v>
      </c>
      <c r="M32" s="126" t="s">
        <v>89</v>
      </c>
      <c r="N32" s="126" t="s">
        <v>88</v>
      </c>
      <c r="O32" s="126" t="s">
        <v>88</v>
      </c>
      <c r="P32" s="126">
        <v>41065</v>
      </c>
      <c r="Q32" s="129" t="s">
        <v>435</v>
      </c>
      <c r="R32" s="131" t="s">
        <v>451</v>
      </c>
      <c r="S32" s="18" t="s">
        <v>128</v>
      </c>
    </row>
    <row r="33" spans="1:19" s="20" customFormat="1" ht="72" x14ac:dyDescent="0.2">
      <c r="A33" s="121" t="s">
        <v>452</v>
      </c>
      <c r="B33" s="132">
        <v>1080579330</v>
      </c>
      <c r="C33" s="133">
        <v>1080579250</v>
      </c>
      <c r="D33" s="133" t="s">
        <v>102</v>
      </c>
      <c r="E33" s="134" t="s">
        <v>453</v>
      </c>
      <c r="F33" s="135">
        <v>89</v>
      </c>
      <c r="G33" s="136">
        <v>40829</v>
      </c>
      <c r="H33" s="137">
        <v>40889</v>
      </c>
      <c r="I33" s="138">
        <f t="shared" ca="1" si="0"/>
        <v>-755</v>
      </c>
      <c r="J33" s="136" t="s">
        <v>89</v>
      </c>
      <c r="K33" s="136" t="s">
        <v>89</v>
      </c>
      <c r="L33" s="136" t="s">
        <v>89</v>
      </c>
      <c r="M33" s="136" t="s">
        <v>89</v>
      </c>
      <c r="N33" s="136" t="s">
        <v>89</v>
      </c>
      <c r="O33" s="136" t="s">
        <v>88</v>
      </c>
      <c r="P33" s="136">
        <v>41071</v>
      </c>
      <c r="Q33" s="139" t="s">
        <v>454</v>
      </c>
      <c r="R33" s="131"/>
      <c r="S33" s="18" t="s">
        <v>128</v>
      </c>
    </row>
    <row r="34" spans="1:19" s="20" customFormat="1" ht="144" x14ac:dyDescent="0.2">
      <c r="A34" s="121" t="s">
        <v>455</v>
      </c>
      <c r="B34" s="122">
        <v>1080579583</v>
      </c>
      <c r="C34" s="123">
        <v>1080579344</v>
      </c>
      <c r="D34" s="123" t="s">
        <v>224</v>
      </c>
      <c r="E34" s="124" t="s">
        <v>456</v>
      </c>
      <c r="F34" s="125">
        <v>31</v>
      </c>
      <c r="G34" s="126">
        <v>40879</v>
      </c>
      <c r="H34" s="127">
        <v>40942</v>
      </c>
      <c r="I34" s="128">
        <f t="shared" ref="I34:I65" ca="1" si="1">IF(H34&lt;&gt;0,NETWORKDAYS(TODAY(),H34),"")</f>
        <v>-716</v>
      </c>
      <c r="J34" s="126" t="s">
        <v>88</v>
      </c>
      <c r="K34" s="126" t="s">
        <v>88</v>
      </c>
      <c r="L34" s="126" t="s">
        <v>89</v>
      </c>
      <c r="M34" s="126" t="s">
        <v>89</v>
      </c>
      <c r="N34" s="126" t="s">
        <v>88</v>
      </c>
      <c r="O34" s="126" t="s">
        <v>88</v>
      </c>
      <c r="P34" s="126">
        <v>41102</v>
      </c>
      <c r="Q34" s="129" t="s">
        <v>457</v>
      </c>
      <c r="R34" s="131"/>
    </row>
    <row r="35" spans="1:19" s="20" customFormat="1" ht="144" x14ac:dyDescent="0.2">
      <c r="A35" s="121" t="s">
        <v>458</v>
      </c>
      <c r="B35" s="122">
        <v>1080579720</v>
      </c>
      <c r="C35" s="123">
        <v>1080579655</v>
      </c>
      <c r="D35" s="123" t="s">
        <v>430</v>
      </c>
      <c r="E35" s="124" t="s">
        <v>459</v>
      </c>
      <c r="F35" s="125">
        <v>37</v>
      </c>
      <c r="G35" s="126">
        <v>40912</v>
      </c>
      <c r="H35" s="127">
        <v>40973</v>
      </c>
      <c r="I35" s="128">
        <f t="shared" ca="1" si="1"/>
        <v>-695</v>
      </c>
      <c r="J35" s="126" t="s">
        <v>89</v>
      </c>
      <c r="K35" s="126" t="s">
        <v>88</v>
      </c>
      <c r="L35" s="126" t="s">
        <v>89</v>
      </c>
      <c r="M35" s="126" t="s">
        <v>89</v>
      </c>
      <c r="N35" s="126" t="s">
        <v>88</v>
      </c>
      <c r="O35" s="126" t="s">
        <v>88</v>
      </c>
      <c r="P35" s="126">
        <v>41102</v>
      </c>
      <c r="Q35" s="129" t="s">
        <v>457</v>
      </c>
      <c r="R35" s="131"/>
    </row>
    <row r="36" spans="1:19" s="20" customFormat="1" ht="90" x14ac:dyDescent="0.2">
      <c r="A36" s="121" t="s">
        <v>460</v>
      </c>
      <c r="B36" s="122">
        <v>1080578431</v>
      </c>
      <c r="C36" s="123">
        <v>1080578023</v>
      </c>
      <c r="D36" s="123" t="s">
        <v>461</v>
      </c>
      <c r="E36" s="124" t="s">
        <v>462</v>
      </c>
      <c r="F36" s="125">
        <v>44</v>
      </c>
      <c r="G36" s="126">
        <v>40660</v>
      </c>
      <c r="H36" s="127">
        <v>40721</v>
      </c>
      <c r="I36" s="128">
        <f t="shared" ca="1" si="1"/>
        <v>-875</v>
      </c>
      <c r="J36" s="126" t="s">
        <v>89</v>
      </c>
      <c r="K36" s="126" t="s">
        <v>89</v>
      </c>
      <c r="L36" s="126" t="s">
        <v>89</v>
      </c>
      <c r="M36" s="126" t="s">
        <v>89</v>
      </c>
      <c r="N36" s="126" t="s">
        <v>88</v>
      </c>
      <c r="O36" s="126" t="s">
        <v>89</v>
      </c>
      <c r="P36" s="126">
        <v>41143</v>
      </c>
      <c r="Q36" s="129" t="s">
        <v>463</v>
      </c>
      <c r="R36" s="131"/>
    </row>
    <row r="37" spans="1:19" s="20" customFormat="1" ht="90" x14ac:dyDescent="0.2">
      <c r="A37" s="121" t="s">
        <v>464</v>
      </c>
      <c r="B37" s="122">
        <v>1080579636</v>
      </c>
      <c r="C37" s="123">
        <v>1080579319</v>
      </c>
      <c r="D37" s="123" t="s">
        <v>465</v>
      </c>
      <c r="E37" s="124" t="s">
        <v>466</v>
      </c>
      <c r="F37" s="125" t="s">
        <v>157</v>
      </c>
      <c r="G37" s="126">
        <v>40885</v>
      </c>
      <c r="H37" s="127">
        <v>40949</v>
      </c>
      <c r="I37" s="128">
        <f t="shared" ca="1" si="1"/>
        <v>-711</v>
      </c>
      <c r="J37" s="126" t="s">
        <v>89</v>
      </c>
      <c r="K37" s="126" t="s">
        <v>89</v>
      </c>
      <c r="L37" s="126" t="s">
        <v>89</v>
      </c>
      <c r="M37" s="126" t="s">
        <v>89</v>
      </c>
      <c r="N37" s="126" t="s">
        <v>88</v>
      </c>
      <c r="O37" s="126" t="s">
        <v>89</v>
      </c>
      <c r="P37" s="126">
        <v>41143</v>
      </c>
      <c r="Q37" s="129" t="s">
        <v>467</v>
      </c>
      <c r="R37" s="131"/>
    </row>
    <row r="38" spans="1:19" s="20" customFormat="1" ht="126" x14ac:dyDescent="0.2">
      <c r="A38" s="121" t="s">
        <v>468</v>
      </c>
      <c r="B38" s="122">
        <v>1080578515</v>
      </c>
      <c r="C38" s="123">
        <v>1080578410</v>
      </c>
      <c r="D38" s="123" t="s">
        <v>469</v>
      </c>
      <c r="E38" s="124" t="s">
        <v>470</v>
      </c>
      <c r="F38" s="125">
        <v>63</v>
      </c>
      <c r="G38" s="126">
        <v>40675</v>
      </c>
      <c r="H38" s="127">
        <v>40969</v>
      </c>
      <c r="I38" s="128">
        <f t="shared" ca="1" si="1"/>
        <v>-697</v>
      </c>
      <c r="J38" s="126" t="s">
        <v>89</v>
      </c>
      <c r="K38" s="126" t="s">
        <v>89</v>
      </c>
      <c r="L38" s="126" t="s">
        <v>88</v>
      </c>
      <c r="M38" s="126" t="s">
        <v>89</v>
      </c>
      <c r="N38" s="126" t="s">
        <v>88</v>
      </c>
      <c r="O38" s="126" t="s">
        <v>88</v>
      </c>
      <c r="P38" s="126">
        <v>41143</v>
      </c>
      <c r="Q38" s="129" t="s">
        <v>467</v>
      </c>
      <c r="R38" s="131" t="s">
        <v>471</v>
      </c>
    </row>
    <row r="39" spans="1:19" s="20" customFormat="1" ht="144" x14ac:dyDescent="0.2">
      <c r="A39" s="121" t="s">
        <v>472</v>
      </c>
      <c r="B39" s="122">
        <v>1080579708</v>
      </c>
      <c r="C39" s="123">
        <v>1080579638</v>
      </c>
      <c r="D39" s="123" t="s">
        <v>430</v>
      </c>
      <c r="E39" s="124" t="s">
        <v>473</v>
      </c>
      <c r="F39" s="125">
        <v>37</v>
      </c>
      <c r="G39" s="126">
        <v>40899</v>
      </c>
      <c r="H39" s="127">
        <v>40961</v>
      </c>
      <c r="I39" s="128">
        <f t="shared" ca="1" si="1"/>
        <v>-703</v>
      </c>
      <c r="J39" s="126" t="s">
        <v>89</v>
      </c>
      <c r="K39" s="126" t="s">
        <v>88</v>
      </c>
      <c r="L39" s="126" t="s">
        <v>89</v>
      </c>
      <c r="M39" s="126" t="s">
        <v>89</v>
      </c>
      <c r="N39" s="126" t="s">
        <v>88</v>
      </c>
      <c r="O39" s="126" t="s">
        <v>88</v>
      </c>
      <c r="P39" s="126">
        <v>41144</v>
      </c>
      <c r="Q39" s="129" t="s">
        <v>474</v>
      </c>
      <c r="R39" s="131"/>
    </row>
    <row r="40" spans="1:19" s="20" customFormat="1" ht="72" x14ac:dyDescent="0.2">
      <c r="A40" s="140" t="s">
        <v>475</v>
      </c>
      <c r="B40" s="122">
        <v>1080580069</v>
      </c>
      <c r="C40" s="123" t="s">
        <v>476</v>
      </c>
      <c r="D40" s="123" t="s">
        <v>102</v>
      </c>
      <c r="E40" s="124" t="s">
        <v>477</v>
      </c>
      <c r="F40" s="125">
        <v>89</v>
      </c>
      <c r="G40" s="126">
        <v>40967</v>
      </c>
      <c r="H40" s="127">
        <v>41029</v>
      </c>
      <c r="I40" s="128">
        <f t="shared" ca="1" si="1"/>
        <v>-655</v>
      </c>
      <c r="J40" s="126" t="s">
        <v>88</v>
      </c>
      <c r="K40" s="126" t="s">
        <v>89</v>
      </c>
      <c r="L40" s="126" t="s">
        <v>89</v>
      </c>
      <c r="M40" s="126" t="s">
        <v>89</v>
      </c>
      <c r="N40" s="126" t="s">
        <v>89</v>
      </c>
      <c r="O40" s="126" t="s">
        <v>89</v>
      </c>
      <c r="P40" s="126">
        <v>41144</v>
      </c>
      <c r="Q40" s="129" t="s">
        <v>474</v>
      </c>
      <c r="R40" s="123"/>
    </row>
    <row r="41" spans="1:19" s="20" customFormat="1" ht="198" x14ac:dyDescent="0.2">
      <c r="A41" s="121" t="s">
        <v>478</v>
      </c>
      <c r="B41" s="122">
        <v>1080579542</v>
      </c>
      <c r="C41" s="123">
        <v>1080579409</v>
      </c>
      <c r="D41" s="123" t="s">
        <v>479</v>
      </c>
      <c r="E41" s="124" t="s">
        <v>480</v>
      </c>
      <c r="F41" s="125" t="s">
        <v>481</v>
      </c>
      <c r="G41" s="126">
        <v>40876</v>
      </c>
      <c r="H41" s="127">
        <v>41029</v>
      </c>
      <c r="I41" s="128">
        <f t="shared" ca="1" si="1"/>
        <v>-655</v>
      </c>
      <c r="J41" s="126" t="s">
        <v>89</v>
      </c>
      <c r="K41" s="126" t="s">
        <v>89</v>
      </c>
      <c r="L41" s="126" t="s">
        <v>89</v>
      </c>
      <c r="M41" s="126" t="s">
        <v>89</v>
      </c>
      <c r="N41" s="126" t="s">
        <v>88</v>
      </c>
      <c r="O41" s="126" t="s">
        <v>89</v>
      </c>
      <c r="P41" s="126">
        <v>41158</v>
      </c>
      <c r="Q41" s="129" t="s">
        <v>482</v>
      </c>
      <c r="R41" s="131"/>
    </row>
    <row r="42" spans="1:19" s="20" customFormat="1" ht="144" x14ac:dyDescent="0.2">
      <c r="A42" s="121" t="s">
        <v>483</v>
      </c>
      <c r="B42" s="122">
        <v>1080579694</v>
      </c>
      <c r="C42" s="123">
        <v>1080579433</v>
      </c>
      <c r="D42" s="123">
        <v>900</v>
      </c>
      <c r="E42" s="124" t="s">
        <v>484</v>
      </c>
      <c r="F42" s="125" t="s">
        <v>357</v>
      </c>
      <c r="G42" s="126">
        <v>40898</v>
      </c>
      <c r="H42" s="127">
        <v>41136</v>
      </c>
      <c r="I42" s="128">
        <f t="shared" ca="1" si="1"/>
        <v>-578</v>
      </c>
      <c r="J42" s="126" t="s">
        <v>89</v>
      </c>
      <c r="K42" s="126" t="s">
        <v>89</v>
      </c>
      <c r="L42" s="126" t="s">
        <v>89</v>
      </c>
      <c r="M42" s="126" t="s">
        <v>89</v>
      </c>
      <c r="N42" s="126" t="s">
        <v>88</v>
      </c>
      <c r="O42" s="126" t="s">
        <v>89</v>
      </c>
      <c r="P42" s="126">
        <v>41158</v>
      </c>
      <c r="Q42" s="129" t="s">
        <v>485</v>
      </c>
      <c r="R42" s="131"/>
    </row>
    <row r="43" spans="1:19" s="20" customFormat="1" ht="108" x14ac:dyDescent="0.2">
      <c r="A43" s="121" t="s">
        <v>486</v>
      </c>
      <c r="B43" s="122">
        <v>1080579707</v>
      </c>
      <c r="C43" s="123">
        <v>1080579560</v>
      </c>
      <c r="D43" s="123">
        <v>610</v>
      </c>
      <c r="E43" s="124" t="s">
        <v>487</v>
      </c>
      <c r="F43" s="125">
        <v>92</v>
      </c>
      <c r="G43" s="126">
        <v>40899</v>
      </c>
      <c r="H43" s="127">
        <v>41030</v>
      </c>
      <c r="I43" s="128">
        <f t="shared" ca="1" si="1"/>
        <v>-654</v>
      </c>
      <c r="J43" s="126" t="s">
        <v>89</v>
      </c>
      <c r="K43" s="126" t="s">
        <v>89</v>
      </c>
      <c r="L43" s="126" t="s">
        <v>89</v>
      </c>
      <c r="M43" s="126" t="s">
        <v>89</v>
      </c>
      <c r="N43" s="126" t="s">
        <v>88</v>
      </c>
      <c r="O43" s="126" t="s">
        <v>89</v>
      </c>
      <c r="P43" s="126">
        <v>41158</v>
      </c>
      <c r="Q43" s="129" t="s">
        <v>485</v>
      </c>
      <c r="R43" s="131"/>
    </row>
    <row r="44" spans="1:19" s="20" customFormat="1" ht="72" x14ac:dyDescent="0.2">
      <c r="A44" s="140" t="s">
        <v>488</v>
      </c>
      <c r="B44" s="122">
        <v>1080580209</v>
      </c>
      <c r="C44" s="123">
        <v>1080580026</v>
      </c>
      <c r="D44" s="123" t="s">
        <v>489</v>
      </c>
      <c r="E44" s="124" t="s">
        <v>490</v>
      </c>
      <c r="F44" s="125" t="s">
        <v>491</v>
      </c>
      <c r="G44" s="126">
        <v>40989</v>
      </c>
      <c r="H44" s="127">
        <v>41050</v>
      </c>
      <c r="I44" s="128">
        <f t="shared" ca="1" si="1"/>
        <v>-640</v>
      </c>
      <c r="J44" s="126" t="s">
        <v>88</v>
      </c>
      <c r="K44" s="126" t="s">
        <v>89</v>
      </c>
      <c r="L44" s="126" t="s">
        <v>89</v>
      </c>
      <c r="M44" s="126" t="s">
        <v>89</v>
      </c>
      <c r="N44" s="126" t="s">
        <v>88</v>
      </c>
      <c r="O44" s="126" t="s">
        <v>89</v>
      </c>
      <c r="P44" s="126">
        <v>41158</v>
      </c>
      <c r="Q44" s="129" t="s">
        <v>485</v>
      </c>
      <c r="R44" s="123"/>
    </row>
    <row r="45" spans="1:19" s="20" customFormat="1" ht="54" x14ac:dyDescent="0.2">
      <c r="A45" s="140" t="s">
        <v>492</v>
      </c>
      <c r="B45" s="132">
        <v>1080579962</v>
      </c>
      <c r="C45" s="133">
        <v>1080579619</v>
      </c>
      <c r="D45" s="133" t="s">
        <v>493</v>
      </c>
      <c r="E45" s="134" t="s">
        <v>494</v>
      </c>
      <c r="F45" s="135">
        <v>37</v>
      </c>
      <c r="G45" s="136">
        <v>40949</v>
      </c>
      <c r="H45" s="137">
        <v>41009</v>
      </c>
      <c r="I45" s="138">
        <f t="shared" ca="1" si="1"/>
        <v>-669</v>
      </c>
      <c r="J45" s="136" t="s">
        <v>89</v>
      </c>
      <c r="K45" s="136" t="s">
        <v>89</v>
      </c>
      <c r="L45" s="136" t="s">
        <v>89</v>
      </c>
      <c r="M45" s="136" t="s">
        <v>89</v>
      </c>
      <c r="N45" s="136" t="s">
        <v>88</v>
      </c>
      <c r="O45" s="136" t="s">
        <v>89</v>
      </c>
      <c r="P45" s="136">
        <v>41158</v>
      </c>
      <c r="Q45" s="139" t="s">
        <v>485</v>
      </c>
      <c r="R45" s="133"/>
    </row>
    <row r="46" spans="1:19" s="20" customFormat="1" ht="90" x14ac:dyDescent="0.2">
      <c r="A46" s="141" t="s">
        <v>495</v>
      </c>
      <c r="B46" s="142">
        <v>1080578187</v>
      </c>
      <c r="C46" s="143">
        <v>1080551596</v>
      </c>
      <c r="D46" s="143" t="s">
        <v>96</v>
      </c>
      <c r="E46" s="144" t="s">
        <v>496</v>
      </c>
      <c r="F46" s="145" t="s">
        <v>497</v>
      </c>
      <c r="G46" s="146">
        <v>40618</v>
      </c>
      <c r="H46" s="147">
        <v>40676</v>
      </c>
      <c r="I46" s="148">
        <f t="shared" ca="1" si="1"/>
        <v>-906</v>
      </c>
      <c r="J46" s="146" t="s">
        <v>89</v>
      </c>
      <c r="K46" s="146" t="s">
        <v>88</v>
      </c>
      <c r="L46" s="146" t="s">
        <v>89</v>
      </c>
      <c r="M46" s="146" t="s">
        <v>89</v>
      </c>
      <c r="N46" s="146" t="s">
        <v>88</v>
      </c>
      <c r="O46" s="146" t="s">
        <v>88</v>
      </c>
      <c r="P46" s="146">
        <v>41170</v>
      </c>
      <c r="Q46" s="149" t="s">
        <v>498</v>
      </c>
      <c r="R46" s="150" t="s">
        <v>499</v>
      </c>
    </row>
    <row r="47" spans="1:19" s="20" customFormat="1" ht="90" x14ac:dyDescent="0.2">
      <c r="A47" s="121" t="s">
        <v>500</v>
      </c>
      <c r="B47" s="122">
        <v>1080579700</v>
      </c>
      <c r="C47" s="123">
        <v>1080579472</v>
      </c>
      <c r="D47" s="123" t="s">
        <v>134</v>
      </c>
      <c r="E47" s="124" t="s">
        <v>501</v>
      </c>
      <c r="F47" s="125" t="s">
        <v>502</v>
      </c>
      <c r="G47" s="126">
        <v>40899</v>
      </c>
      <c r="H47" s="127">
        <v>41281</v>
      </c>
      <c r="I47" s="128">
        <f t="shared" ca="1" si="1"/>
        <v>-475</v>
      </c>
      <c r="J47" s="126" t="s">
        <v>88</v>
      </c>
      <c r="K47" s="126" t="s">
        <v>89</v>
      </c>
      <c r="L47" s="126" t="s">
        <v>89</v>
      </c>
      <c r="M47" s="126" t="s">
        <v>89</v>
      </c>
      <c r="N47" s="126" t="s">
        <v>88</v>
      </c>
      <c r="O47" s="126" t="s">
        <v>88</v>
      </c>
      <c r="P47" s="126">
        <v>41170</v>
      </c>
      <c r="Q47" s="129" t="s">
        <v>503</v>
      </c>
      <c r="R47" s="131"/>
    </row>
    <row r="48" spans="1:19" s="20" customFormat="1" ht="36" x14ac:dyDescent="0.2">
      <c r="A48" s="121" t="s">
        <v>504</v>
      </c>
      <c r="B48" s="122">
        <v>1080579702</v>
      </c>
      <c r="C48" s="123">
        <v>1080579532</v>
      </c>
      <c r="D48" s="123" t="s">
        <v>134</v>
      </c>
      <c r="E48" s="124" t="s">
        <v>505</v>
      </c>
      <c r="F48" s="125" t="s">
        <v>502</v>
      </c>
      <c r="G48" s="126">
        <v>40899</v>
      </c>
      <c r="H48" s="127">
        <v>41281</v>
      </c>
      <c r="I48" s="128">
        <f t="shared" ca="1" si="1"/>
        <v>-475</v>
      </c>
      <c r="J48" s="126" t="s">
        <v>88</v>
      </c>
      <c r="K48" s="126" t="s">
        <v>89</v>
      </c>
      <c r="L48" s="126" t="s">
        <v>89</v>
      </c>
      <c r="M48" s="126" t="s">
        <v>89</v>
      </c>
      <c r="N48" s="126" t="s">
        <v>88</v>
      </c>
      <c r="O48" s="126" t="s">
        <v>88</v>
      </c>
      <c r="P48" s="126">
        <v>41170</v>
      </c>
      <c r="Q48" s="129" t="s">
        <v>503</v>
      </c>
      <c r="R48" s="131"/>
    </row>
    <row r="49" spans="1:18" s="20" customFormat="1" ht="144" x14ac:dyDescent="0.2">
      <c r="A49" s="121" t="s">
        <v>506</v>
      </c>
      <c r="B49" s="122">
        <v>1080579705</v>
      </c>
      <c r="C49" s="123">
        <v>1080579603</v>
      </c>
      <c r="D49" s="123" t="s">
        <v>134</v>
      </c>
      <c r="E49" s="124" t="s">
        <v>507</v>
      </c>
      <c r="F49" s="125" t="s">
        <v>502</v>
      </c>
      <c r="G49" s="126">
        <v>40899</v>
      </c>
      <c r="H49" s="127">
        <v>41281</v>
      </c>
      <c r="I49" s="128">
        <f t="shared" ca="1" si="1"/>
        <v>-475</v>
      </c>
      <c r="J49" s="126" t="s">
        <v>89</v>
      </c>
      <c r="K49" s="126" t="s">
        <v>89</v>
      </c>
      <c r="L49" s="126" t="s">
        <v>89</v>
      </c>
      <c r="M49" s="126" t="s">
        <v>89</v>
      </c>
      <c r="N49" s="126" t="s">
        <v>88</v>
      </c>
      <c r="O49" s="126" t="s">
        <v>88</v>
      </c>
      <c r="P49" s="126">
        <v>41179</v>
      </c>
      <c r="Q49" s="129" t="s">
        <v>508</v>
      </c>
      <c r="R49" s="131"/>
    </row>
    <row r="50" spans="1:18" s="20" customFormat="1" ht="90" x14ac:dyDescent="0.2">
      <c r="A50" s="140" t="s">
        <v>509</v>
      </c>
      <c r="B50" s="122">
        <v>1080580127</v>
      </c>
      <c r="C50" s="123">
        <v>1080580003</v>
      </c>
      <c r="D50" s="123" t="s">
        <v>510</v>
      </c>
      <c r="E50" s="124" t="s">
        <v>511</v>
      </c>
      <c r="F50" s="125">
        <v>52</v>
      </c>
      <c r="G50" s="126">
        <v>40975</v>
      </c>
      <c r="H50" s="127">
        <v>41036</v>
      </c>
      <c r="I50" s="128">
        <f t="shared" ca="1" si="1"/>
        <v>-650</v>
      </c>
      <c r="J50" s="126" t="s">
        <v>89</v>
      </c>
      <c r="K50" s="126" t="s">
        <v>89</v>
      </c>
      <c r="L50" s="126" t="s">
        <v>89</v>
      </c>
      <c r="M50" s="126" t="s">
        <v>89</v>
      </c>
      <c r="N50" s="126" t="s">
        <v>89</v>
      </c>
      <c r="O50" s="126" t="s">
        <v>89</v>
      </c>
      <c r="P50" s="126">
        <v>41191</v>
      </c>
      <c r="Q50" s="129" t="s">
        <v>512</v>
      </c>
      <c r="R50" s="123"/>
    </row>
    <row r="51" spans="1:18" s="20" customFormat="1" ht="72" x14ac:dyDescent="0.2">
      <c r="A51" s="121" t="s">
        <v>513</v>
      </c>
      <c r="B51" s="122">
        <v>1080578966</v>
      </c>
      <c r="C51" s="123">
        <v>1080578800</v>
      </c>
      <c r="D51" s="123" t="s">
        <v>514</v>
      </c>
      <c r="E51" s="124" t="s">
        <v>515</v>
      </c>
      <c r="F51" s="125">
        <v>60</v>
      </c>
      <c r="G51" s="126">
        <v>40772</v>
      </c>
      <c r="H51" s="127">
        <v>40833</v>
      </c>
      <c r="I51" s="128">
        <f t="shared" ca="1" si="1"/>
        <v>-795</v>
      </c>
      <c r="J51" s="126" t="s">
        <v>89</v>
      </c>
      <c r="K51" s="126" t="s">
        <v>88</v>
      </c>
      <c r="L51" s="126" t="s">
        <v>89</v>
      </c>
      <c r="M51" s="126" t="s">
        <v>89</v>
      </c>
      <c r="N51" s="126" t="s">
        <v>88</v>
      </c>
      <c r="O51" s="126" t="s">
        <v>88</v>
      </c>
      <c r="P51" s="126">
        <v>41212</v>
      </c>
      <c r="Q51" s="129" t="s">
        <v>516</v>
      </c>
      <c r="R51" s="131"/>
    </row>
    <row r="52" spans="1:18" s="20" customFormat="1" ht="108" x14ac:dyDescent="0.2">
      <c r="A52" s="140" t="s">
        <v>517</v>
      </c>
      <c r="B52" s="122">
        <v>1080580062</v>
      </c>
      <c r="C52" s="123">
        <v>1080579323</v>
      </c>
      <c r="D52" s="123" t="s">
        <v>518</v>
      </c>
      <c r="E52" s="124" t="s">
        <v>519</v>
      </c>
      <c r="F52" s="125">
        <v>50</v>
      </c>
      <c r="G52" s="126">
        <v>40966</v>
      </c>
      <c r="H52" s="127">
        <v>41029</v>
      </c>
      <c r="I52" s="128">
        <f t="shared" ca="1" si="1"/>
        <v>-655</v>
      </c>
      <c r="J52" s="126" t="s">
        <v>89</v>
      </c>
      <c r="K52" s="126" t="s">
        <v>88</v>
      </c>
      <c r="L52" s="126" t="s">
        <v>89</v>
      </c>
      <c r="M52" s="126" t="s">
        <v>89</v>
      </c>
      <c r="N52" s="126" t="s">
        <v>88</v>
      </c>
      <c r="O52" s="126" t="s">
        <v>89</v>
      </c>
      <c r="P52" s="126">
        <v>41212</v>
      </c>
      <c r="Q52" s="129" t="s">
        <v>520</v>
      </c>
      <c r="R52" s="123"/>
    </row>
    <row r="53" spans="1:18" s="20" customFormat="1" ht="108" x14ac:dyDescent="0.2">
      <c r="A53" s="140" t="s">
        <v>521</v>
      </c>
      <c r="B53" s="122">
        <v>1080581040</v>
      </c>
      <c r="C53" s="123">
        <v>1080580822</v>
      </c>
      <c r="D53" s="123" t="s">
        <v>118</v>
      </c>
      <c r="E53" s="124" t="s">
        <v>522</v>
      </c>
      <c r="F53" s="125" t="s">
        <v>167</v>
      </c>
      <c r="G53" s="126">
        <v>41123</v>
      </c>
      <c r="H53" s="127">
        <v>41187</v>
      </c>
      <c r="I53" s="128">
        <f t="shared" ca="1" si="1"/>
        <v>-541</v>
      </c>
      <c r="J53" s="126">
        <v>41134</v>
      </c>
      <c r="K53" s="126">
        <v>41136</v>
      </c>
      <c r="L53" s="126" t="s">
        <v>89</v>
      </c>
      <c r="M53" s="126" t="s">
        <v>89</v>
      </c>
      <c r="N53" s="126">
        <v>41134</v>
      </c>
      <c r="O53" s="126">
        <v>41204</v>
      </c>
      <c r="P53" s="126">
        <v>41212</v>
      </c>
      <c r="Q53" s="129" t="s">
        <v>523</v>
      </c>
      <c r="R53" s="123"/>
    </row>
    <row r="54" spans="1:18" s="20" customFormat="1" ht="54" x14ac:dyDescent="0.2">
      <c r="A54" s="121" t="s">
        <v>524</v>
      </c>
      <c r="B54" s="122">
        <v>1080579136</v>
      </c>
      <c r="C54" s="123">
        <v>1080578904</v>
      </c>
      <c r="D54" s="123" t="s">
        <v>525</v>
      </c>
      <c r="E54" s="124" t="s">
        <v>526</v>
      </c>
      <c r="F54" s="125">
        <v>89</v>
      </c>
      <c r="G54" s="126">
        <v>40801</v>
      </c>
      <c r="H54" s="127">
        <v>40910</v>
      </c>
      <c r="I54" s="128">
        <f t="shared" ca="1" si="1"/>
        <v>-740</v>
      </c>
      <c r="J54" s="126" t="s">
        <v>88</v>
      </c>
      <c r="K54" s="126" t="s">
        <v>89</v>
      </c>
      <c r="L54" s="126" t="s">
        <v>88</v>
      </c>
      <c r="M54" s="126" t="s">
        <v>89</v>
      </c>
      <c r="N54" s="126" t="s">
        <v>88</v>
      </c>
      <c r="O54" s="126" t="s">
        <v>88</v>
      </c>
      <c r="P54" s="126">
        <v>41221</v>
      </c>
      <c r="Q54" s="129" t="s">
        <v>527</v>
      </c>
      <c r="R54" s="131" t="s">
        <v>528</v>
      </c>
    </row>
    <row r="55" spans="1:18" s="20" customFormat="1" ht="144" x14ac:dyDescent="0.2">
      <c r="A55" s="121" t="s">
        <v>529</v>
      </c>
      <c r="B55" s="122">
        <v>1080578706</v>
      </c>
      <c r="C55" s="123">
        <v>1080578164</v>
      </c>
      <c r="D55" s="123" t="s">
        <v>479</v>
      </c>
      <c r="E55" s="124" t="s">
        <v>530</v>
      </c>
      <c r="F55" s="125">
        <v>31</v>
      </c>
      <c r="G55" s="126">
        <v>40714</v>
      </c>
      <c r="H55" s="127">
        <v>40865</v>
      </c>
      <c r="I55" s="128">
        <f t="shared" ca="1" si="1"/>
        <v>-771</v>
      </c>
      <c r="J55" s="126" t="s">
        <v>88</v>
      </c>
      <c r="K55" s="126" t="s">
        <v>88</v>
      </c>
      <c r="L55" s="126" t="s">
        <v>89</v>
      </c>
      <c r="M55" s="126" t="s">
        <v>89</v>
      </c>
      <c r="N55" s="126" t="s">
        <v>88</v>
      </c>
      <c r="O55" s="126" t="s">
        <v>88</v>
      </c>
      <c r="P55" s="126">
        <v>41221</v>
      </c>
      <c r="Q55" s="129" t="s">
        <v>531</v>
      </c>
      <c r="R55" s="131" t="s">
        <v>532</v>
      </c>
    </row>
    <row r="56" spans="1:18" s="20" customFormat="1" ht="216" x14ac:dyDescent="0.2">
      <c r="A56" s="121" t="s">
        <v>533</v>
      </c>
      <c r="B56" s="122">
        <v>1080578707</v>
      </c>
      <c r="C56" s="123">
        <v>1080578123</v>
      </c>
      <c r="D56" s="123" t="s">
        <v>514</v>
      </c>
      <c r="E56" s="124" t="s">
        <v>534</v>
      </c>
      <c r="F56" s="125">
        <v>60</v>
      </c>
      <c r="G56" s="126">
        <v>40714</v>
      </c>
      <c r="H56" s="127">
        <v>40774</v>
      </c>
      <c r="I56" s="128">
        <f t="shared" ca="1" si="1"/>
        <v>-836</v>
      </c>
      <c r="J56" s="126" t="s">
        <v>89</v>
      </c>
      <c r="K56" s="126" t="s">
        <v>88</v>
      </c>
      <c r="L56" s="126" t="s">
        <v>89</v>
      </c>
      <c r="M56" s="126" t="s">
        <v>89</v>
      </c>
      <c r="N56" s="126" t="s">
        <v>88</v>
      </c>
      <c r="O56" s="126" t="s">
        <v>88</v>
      </c>
      <c r="P56" s="126">
        <v>41221</v>
      </c>
      <c r="Q56" s="129" t="s">
        <v>535</v>
      </c>
      <c r="R56" s="131" t="s">
        <v>499</v>
      </c>
    </row>
    <row r="57" spans="1:18" s="20" customFormat="1" ht="54" x14ac:dyDescent="0.2">
      <c r="A57" s="121" t="s">
        <v>536</v>
      </c>
      <c r="B57" s="122">
        <v>1080579138</v>
      </c>
      <c r="C57" s="123">
        <v>1080578691</v>
      </c>
      <c r="D57" s="123" t="s">
        <v>537</v>
      </c>
      <c r="E57" s="124" t="s">
        <v>538</v>
      </c>
      <c r="F57" s="125" t="s">
        <v>539</v>
      </c>
      <c r="G57" s="126">
        <v>40801</v>
      </c>
      <c r="H57" s="127">
        <v>40862</v>
      </c>
      <c r="I57" s="128">
        <f t="shared" ca="1" si="1"/>
        <v>-774</v>
      </c>
      <c r="J57" s="126" t="s">
        <v>89</v>
      </c>
      <c r="K57" s="126" t="s">
        <v>88</v>
      </c>
      <c r="L57" s="126" t="s">
        <v>89</v>
      </c>
      <c r="M57" s="126" t="s">
        <v>89</v>
      </c>
      <c r="N57" s="126" t="s">
        <v>88</v>
      </c>
      <c r="O57" s="126" t="s">
        <v>88</v>
      </c>
      <c r="P57" s="126">
        <v>41242</v>
      </c>
      <c r="Q57" s="129" t="s">
        <v>540</v>
      </c>
      <c r="R57" s="131"/>
    </row>
    <row r="58" spans="1:18" s="20" customFormat="1" ht="108" x14ac:dyDescent="0.2">
      <c r="A58" s="121" t="s">
        <v>541</v>
      </c>
      <c r="B58" s="122">
        <v>1080579639</v>
      </c>
      <c r="C58" s="123">
        <v>1080579449</v>
      </c>
      <c r="D58" s="123" t="s">
        <v>134</v>
      </c>
      <c r="E58" s="124" t="s">
        <v>542</v>
      </c>
      <c r="F58" s="125">
        <v>83</v>
      </c>
      <c r="G58" s="126">
        <v>40890</v>
      </c>
      <c r="H58" s="127">
        <v>41281</v>
      </c>
      <c r="I58" s="128">
        <f t="shared" ca="1" si="1"/>
        <v>-475</v>
      </c>
      <c r="J58" s="126" t="s">
        <v>89</v>
      </c>
      <c r="K58" s="126" t="s">
        <v>89</v>
      </c>
      <c r="L58" s="126" t="s">
        <v>89</v>
      </c>
      <c r="M58" s="126" t="s">
        <v>89</v>
      </c>
      <c r="N58" s="126" t="s">
        <v>88</v>
      </c>
      <c r="O58" s="126" t="s">
        <v>89</v>
      </c>
      <c r="P58" s="126">
        <v>41253</v>
      </c>
      <c r="Q58" s="129" t="s">
        <v>543</v>
      </c>
      <c r="R58" s="131"/>
    </row>
    <row r="59" spans="1:18" s="20" customFormat="1" ht="90" x14ac:dyDescent="0.2">
      <c r="A59" s="140" t="s">
        <v>544</v>
      </c>
      <c r="B59" s="122">
        <v>1080580208</v>
      </c>
      <c r="C59" s="123">
        <v>1080579971</v>
      </c>
      <c r="D59" s="123" t="s">
        <v>102</v>
      </c>
      <c r="E59" s="124" t="s">
        <v>545</v>
      </c>
      <c r="F59" s="125">
        <v>89</v>
      </c>
      <c r="G59" s="126">
        <v>40989</v>
      </c>
      <c r="H59" s="127">
        <v>41050</v>
      </c>
      <c r="I59" s="128">
        <f t="shared" ca="1" si="1"/>
        <v>-640</v>
      </c>
      <c r="J59" s="126" t="s">
        <v>89</v>
      </c>
      <c r="K59" s="126" t="s">
        <v>89</v>
      </c>
      <c r="L59" s="126" t="s">
        <v>89</v>
      </c>
      <c r="M59" s="126" t="s">
        <v>89</v>
      </c>
      <c r="N59" s="126" t="s">
        <v>89</v>
      </c>
      <c r="O59" s="126" t="s">
        <v>89</v>
      </c>
      <c r="P59" s="126">
        <v>41253</v>
      </c>
      <c r="Q59" s="129" t="s">
        <v>543</v>
      </c>
      <c r="R59" s="123"/>
    </row>
    <row r="60" spans="1:18" s="20" customFormat="1" ht="54" x14ac:dyDescent="0.2">
      <c r="A60" s="140" t="s">
        <v>546</v>
      </c>
      <c r="B60" s="122">
        <v>1080581048</v>
      </c>
      <c r="C60" s="123">
        <v>1080580907</v>
      </c>
      <c r="D60" s="123" t="s">
        <v>547</v>
      </c>
      <c r="E60" s="124" t="s">
        <v>548</v>
      </c>
      <c r="F60" s="125" t="s">
        <v>357</v>
      </c>
      <c r="G60" s="126">
        <v>41123</v>
      </c>
      <c r="H60" s="127">
        <v>41187</v>
      </c>
      <c r="I60" s="128">
        <f t="shared" ca="1" si="1"/>
        <v>-541</v>
      </c>
      <c r="J60" s="126" t="s">
        <v>89</v>
      </c>
      <c r="K60" s="126" t="s">
        <v>89</v>
      </c>
      <c r="L60" s="126" t="s">
        <v>89</v>
      </c>
      <c r="M60" s="126" t="s">
        <v>89</v>
      </c>
      <c r="N60" s="126">
        <v>41239</v>
      </c>
      <c r="O60" s="126" t="s">
        <v>89</v>
      </c>
      <c r="P60" s="126">
        <v>41253</v>
      </c>
      <c r="Q60" s="129" t="s">
        <v>549</v>
      </c>
      <c r="R60" s="123"/>
    </row>
    <row r="61" spans="1:18" s="20" customFormat="1" ht="54" x14ac:dyDescent="0.2">
      <c r="A61" s="140" t="s">
        <v>550</v>
      </c>
      <c r="B61" s="122">
        <v>1080580556</v>
      </c>
      <c r="C61" s="123">
        <v>1080579505</v>
      </c>
      <c r="D61" s="123" t="s">
        <v>551</v>
      </c>
      <c r="E61" s="124" t="s">
        <v>552</v>
      </c>
      <c r="F61" s="125" t="s">
        <v>217</v>
      </c>
      <c r="G61" s="126">
        <v>41039</v>
      </c>
      <c r="H61" s="127">
        <v>41110</v>
      </c>
      <c r="I61" s="128">
        <f t="shared" ca="1" si="1"/>
        <v>-596</v>
      </c>
      <c r="J61" s="126">
        <v>41120</v>
      </c>
      <c r="K61" s="126" t="s">
        <v>89</v>
      </c>
      <c r="L61" s="126" t="s">
        <v>89</v>
      </c>
      <c r="M61" s="126" t="s">
        <v>89</v>
      </c>
      <c r="N61" s="126">
        <v>41136</v>
      </c>
      <c r="O61" s="126">
        <v>41128</v>
      </c>
      <c r="P61" s="126">
        <v>41290</v>
      </c>
      <c r="Q61" s="129" t="s">
        <v>553</v>
      </c>
      <c r="R61" s="123"/>
    </row>
    <row r="62" spans="1:18" s="20" customFormat="1" ht="108" x14ac:dyDescent="0.2">
      <c r="A62" s="121" t="s">
        <v>554</v>
      </c>
      <c r="B62" s="132">
        <v>1080578564</v>
      </c>
      <c r="C62" s="133">
        <v>1080578291</v>
      </c>
      <c r="D62" s="133" t="s">
        <v>555</v>
      </c>
      <c r="E62" s="134" t="s">
        <v>556</v>
      </c>
      <c r="F62" s="135" t="s">
        <v>557</v>
      </c>
      <c r="G62" s="136">
        <v>40685</v>
      </c>
      <c r="H62" s="137">
        <v>40822</v>
      </c>
      <c r="I62" s="138">
        <f t="shared" ca="1" si="1"/>
        <v>-802</v>
      </c>
      <c r="J62" s="136" t="s">
        <v>89</v>
      </c>
      <c r="K62" s="136" t="s">
        <v>89</v>
      </c>
      <c r="L62" s="136" t="s">
        <v>89</v>
      </c>
      <c r="M62" s="136" t="s">
        <v>89</v>
      </c>
      <c r="N62" s="136" t="s">
        <v>88</v>
      </c>
      <c r="O62" s="136" t="s">
        <v>89</v>
      </c>
      <c r="P62" s="136">
        <v>41312</v>
      </c>
      <c r="Q62" s="139" t="s">
        <v>558</v>
      </c>
      <c r="R62" s="131" t="s">
        <v>559</v>
      </c>
    </row>
    <row r="63" spans="1:18" s="20" customFormat="1" ht="90" x14ac:dyDescent="0.2">
      <c r="A63" s="140" t="s">
        <v>560</v>
      </c>
      <c r="B63" s="122">
        <v>1080580237</v>
      </c>
      <c r="C63" s="123" t="s">
        <v>561</v>
      </c>
      <c r="D63" s="123" t="s">
        <v>224</v>
      </c>
      <c r="E63" s="124" t="s">
        <v>562</v>
      </c>
      <c r="F63" s="125">
        <v>31</v>
      </c>
      <c r="G63" s="126">
        <v>40994</v>
      </c>
      <c r="H63" s="127">
        <v>41060</v>
      </c>
      <c r="I63" s="128">
        <f t="shared" ca="1" si="1"/>
        <v>-632</v>
      </c>
      <c r="J63" s="126" t="s">
        <v>88</v>
      </c>
      <c r="K63" s="126" t="s">
        <v>88</v>
      </c>
      <c r="L63" s="126" t="s">
        <v>89</v>
      </c>
      <c r="M63" s="126" t="s">
        <v>89</v>
      </c>
      <c r="N63" s="126" t="s">
        <v>88</v>
      </c>
      <c r="O63" s="126" t="s">
        <v>88</v>
      </c>
      <c r="P63" s="126">
        <v>41324</v>
      </c>
      <c r="Q63" s="129" t="s">
        <v>563</v>
      </c>
      <c r="R63" s="123"/>
    </row>
    <row r="64" spans="1:18" s="20" customFormat="1" ht="36" x14ac:dyDescent="0.2">
      <c r="A64" s="140" t="s">
        <v>564</v>
      </c>
      <c r="B64" s="122">
        <v>1080580660</v>
      </c>
      <c r="C64" s="123">
        <v>1080579919</v>
      </c>
      <c r="D64" s="123" t="s">
        <v>565</v>
      </c>
      <c r="E64" s="124" t="s">
        <v>566</v>
      </c>
      <c r="F64" s="125" t="s">
        <v>357</v>
      </c>
      <c r="G64" s="126">
        <v>41051</v>
      </c>
      <c r="H64" s="127">
        <v>41117</v>
      </c>
      <c r="I64" s="128">
        <f t="shared" ca="1" si="1"/>
        <v>-591</v>
      </c>
      <c r="J64" s="126">
        <v>41029</v>
      </c>
      <c r="K64" s="126" t="s">
        <v>89</v>
      </c>
      <c r="L64" s="126" t="s">
        <v>89</v>
      </c>
      <c r="M64" s="126" t="s">
        <v>89</v>
      </c>
      <c r="N64" s="126">
        <v>41156</v>
      </c>
      <c r="O64" s="126">
        <v>41030</v>
      </c>
      <c r="P64" s="126">
        <v>41324</v>
      </c>
      <c r="Q64" s="129" t="s">
        <v>567</v>
      </c>
      <c r="R64" s="123"/>
    </row>
    <row r="65" spans="1:18" s="20" customFormat="1" ht="72" x14ac:dyDescent="0.2">
      <c r="A65" s="140" t="s">
        <v>568</v>
      </c>
      <c r="B65" s="122">
        <v>1080580886</v>
      </c>
      <c r="C65" s="123">
        <v>1080579604</v>
      </c>
      <c r="D65" s="123" t="s">
        <v>569</v>
      </c>
      <c r="E65" s="124" t="s">
        <v>570</v>
      </c>
      <c r="F65" s="125" t="s">
        <v>157</v>
      </c>
      <c r="G65" s="126">
        <v>41092</v>
      </c>
      <c r="H65" s="127">
        <v>41173</v>
      </c>
      <c r="I65" s="128">
        <f t="shared" ca="1" si="1"/>
        <v>-551</v>
      </c>
      <c r="J65" s="126" t="s">
        <v>89</v>
      </c>
      <c r="K65" s="126" t="s">
        <v>89</v>
      </c>
      <c r="L65" s="126">
        <v>41247</v>
      </c>
      <c r="M65" s="126" t="s">
        <v>89</v>
      </c>
      <c r="N65" s="126">
        <v>41319</v>
      </c>
      <c r="O65" s="126" t="s">
        <v>89</v>
      </c>
      <c r="P65" s="126">
        <v>41324</v>
      </c>
      <c r="Q65" s="129" t="s">
        <v>571</v>
      </c>
      <c r="R65" s="123"/>
    </row>
    <row r="66" spans="1:18" s="20" customFormat="1" ht="90" x14ac:dyDescent="0.2">
      <c r="A66" s="140" t="s">
        <v>572</v>
      </c>
      <c r="B66" s="122">
        <v>1080579989</v>
      </c>
      <c r="C66" s="123" t="s">
        <v>111</v>
      </c>
      <c r="D66" s="123" t="s">
        <v>131</v>
      </c>
      <c r="E66" s="124" t="s">
        <v>573</v>
      </c>
      <c r="F66" s="125" t="s">
        <v>111</v>
      </c>
      <c r="G66" s="126">
        <v>40954</v>
      </c>
      <c r="H66" s="127">
        <v>40998</v>
      </c>
      <c r="I66" s="128">
        <f t="shared" ref="I66:I97" ca="1" si="2">IF(H66&lt;&gt;0,NETWORKDAYS(TODAY(),H66),"")</f>
        <v>-676</v>
      </c>
      <c r="J66" s="126" t="s">
        <v>88</v>
      </c>
      <c r="K66" s="126" t="s">
        <v>88</v>
      </c>
      <c r="L66" s="126" t="s">
        <v>88</v>
      </c>
      <c r="M66" s="126" t="s">
        <v>89</v>
      </c>
      <c r="N66" s="126" t="s">
        <v>88</v>
      </c>
      <c r="O66" s="126" t="s">
        <v>88</v>
      </c>
      <c r="P66" s="126">
        <v>41331</v>
      </c>
      <c r="Q66" s="129" t="s">
        <v>574</v>
      </c>
      <c r="R66" s="123"/>
    </row>
    <row r="67" spans="1:18" s="20" customFormat="1" ht="108" x14ac:dyDescent="0.2">
      <c r="A67" s="140" t="s">
        <v>575</v>
      </c>
      <c r="B67" s="122">
        <v>1080580379</v>
      </c>
      <c r="C67" s="123" t="s">
        <v>576</v>
      </c>
      <c r="D67" s="123" t="s">
        <v>577</v>
      </c>
      <c r="E67" s="124" t="s">
        <v>578</v>
      </c>
      <c r="F67" s="125" t="s">
        <v>111</v>
      </c>
      <c r="G67" s="126">
        <v>41016</v>
      </c>
      <c r="H67" s="127">
        <v>41082</v>
      </c>
      <c r="I67" s="128">
        <f t="shared" ca="1" si="2"/>
        <v>-616</v>
      </c>
      <c r="J67" s="126">
        <v>41011</v>
      </c>
      <c r="K67" s="126">
        <v>41031</v>
      </c>
      <c r="L67" s="126">
        <v>41243</v>
      </c>
      <c r="M67" s="126" t="s">
        <v>89</v>
      </c>
      <c r="N67" s="126">
        <v>41033</v>
      </c>
      <c r="O67" s="126">
        <v>41218</v>
      </c>
      <c r="P67" s="126">
        <v>41331</v>
      </c>
      <c r="Q67" s="129" t="s">
        <v>579</v>
      </c>
      <c r="R67" s="123"/>
    </row>
    <row r="68" spans="1:18" s="20" customFormat="1" ht="108" x14ac:dyDescent="0.2">
      <c r="A68" s="140" t="s">
        <v>580</v>
      </c>
      <c r="B68" s="122">
        <v>1080580803</v>
      </c>
      <c r="C68" s="123">
        <v>1080580202</v>
      </c>
      <c r="D68" s="123" t="s">
        <v>581</v>
      </c>
      <c r="E68" s="124" t="s">
        <v>582</v>
      </c>
      <c r="F68" s="125" t="s">
        <v>479</v>
      </c>
      <c r="G68" s="126">
        <v>41078</v>
      </c>
      <c r="H68" s="127">
        <v>41152</v>
      </c>
      <c r="I68" s="128">
        <f t="shared" ca="1" si="2"/>
        <v>-566</v>
      </c>
      <c r="J68" s="126" t="s">
        <v>89</v>
      </c>
      <c r="K68" s="126" t="s">
        <v>89</v>
      </c>
      <c r="L68" s="126" t="s">
        <v>89</v>
      </c>
      <c r="M68" s="126" t="s">
        <v>89</v>
      </c>
      <c r="N68" s="126">
        <v>41149</v>
      </c>
      <c r="O68" s="126" t="s">
        <v>89</v>
      </c>
      <c r="P68" s="126">
        <v>41331</v>
      </c>
      <c r="Q68" s="129" t="s">
        <v>583</v>
      </c>
      <c r="R68" s="123"/>
    </row>
    <row r="69" spans="1:18" s="20" customFormat="1" ht="162" x14ac:dyDescent="0.2">
      <c r="A69" s="121" t="s">
        <v>584</v>
      </c>
      <c r="B69" s="122">
        <v>1080579626</v>
      </c>
      <c r="C69" s="123">
        <v>1080578975</v>
      </c>
      <c r="D69" s="123" t="s">
        <v>134</v>
      </c>
      <c r="E69" s="124" t="s">
        <v>585</v>
      </c>
      <c r="F69" s="125" t="s">
        <v>111</v>
      </c>
      <c r="G69" s="126">
        <v>40885</v>
      </c>
      <c r="H69" s="127">
        <v>41281</v>
      </c>
      <c r="I69" s="128">
        <f t="shared" ca="1" si="2"/>
        <v>-475</v>
      </c>
      <c r="J69" s="126" t="s">
        <v>88</v>
      </c>
      <c r="K69" s="126" t="s">
        <v>88</v>
      </c>
      <c r="L69" s="126" t="s">
        <v>88</v>
      </c>
      <c r="M69" s="126" t="s">
        <v>89</v>
      </c>
      <c r="N69" s="126" t="s">
        <v>88</v>
      </c>
      <c r="O69" s="126" t="s">
        <v>89</v>
      </c>
      <c r="P69" s="126">
        <v>41358</v>
      </c>
      <c r="Q69" s="129" t="s">
        <v>586</v>
      </c>
      <c r="R69" s="131"/>
    </row>
    <row r="70" spans="1:18" s="20" customFormat="1" ht="72" x14ac:dyDescent="0.2">
      <c r="A70" s="140" t="s">
        <v>587</v>
      </c>
      <c r="B70" s="122">
        <v>1080580724</v>
      </c>
      <c r="C70" s="123">
        <v>1080580154</v>
      </c>
      <c r="D70" s="123" t="s">
        <v>102</v>
      </c>
      <c r="E70" s="124" t="s">
        <v>588</v>
      </c>
      <c r="F70" s="125" t="s">
        <v>152</v>
      </c>
      <c r="G70" s="126">
        <v>41061</v>
      </c>
      <c r="H70" s="127">
        <v>41131</v>
      </c>
      <c r="I70" s="128">
        <f t="shared" ca="1" si="2"/>
        <v>-581</v>
      </c>
      <c r="J70" s="126">
        <v>41162</v>
      </c>
      <c r="K70" s="126">
        <v>41131</v>
      </c>
      <c r="L70" s="126" t="s">
        <v>89</v>
      </c>
      <c r="M70" s="126" t="s">
        <v>89</v>
      </c>
      <c r="N70" s="126">
        <v>41088</v>
      </c>
      <c r="O70" s="126" t="s">
        <v>89</v>
      </c>
      <c r="P70" s="126">
        <v>41358</v>
      </c>
      <c r="Q70" s="129" t="s">
        <v>589</v>
      </c>
      <c r="R70" s="123"/>
    </row>
    <row r="71" spans="1:18" s="20" customFormat="1" ht="144" x14ac:dyDescent="0.2">
      <c r="A71" s="140" t="s">
        <v>590</v>
      </c>
      <c r="B71" s="122">
        <v>1080581180</v>
      </c>
      <c r="C71" s="123">
        <v>1080580093</v>
      </c>
      <c r="D71" s="123" t="s">
        <v>591</v>
      </c>
      <c r="E71" s="124" t="s">
        <v>592</v>
      </c>
      <c r="F71" s="125" t="s">
        <v>593</v>
      </c>
      <c r="G71" s="126" t="s">
        <v>594</v>
      </c>
      <c r="H71" s="127">
        <v>41214</v>
      </c>
      <c r="I71" s="128">
        <f t="shared" ca="1" si="2"/>
        <v>-522</v>
      </c>
      <c r="J71" s="126">
        <v>41144</v>
      </c>
      <c r="K71" s="126" t="s">
        <v>89</v>
      </c>
      <c r="L71" s="126">
        <v>41194</v>
      </c>
      <c r="M71" s="126" t="s">
        <v>89</v>
      </c>
      <c r="N71" s="126">
        <v>41255</v>
      </c>
      <c r="O71" s="126" t="s">
        <v>89</v>
      </c>
      <c r="P71" s="126">
        <v>41358</v>
      </c>
      <c r="Q71" s="129" t="s">
        <v>595</v>
      </c>
      <c r="R71" s="123"/>
    </row>
    <row r="72" spans="1:18" s="20" customFormat="1" ht="54" x14ac:dyDescent="0.2">
      <c r="A72" s="140" t="s">
        <v>596</v>
      </c>
      <c r="B72" s="122">
        <v>1080581234</v>
      </c>
      <c r="C72" s="123">
        <v>1080580998</v>
      </c>
      <c r="D72" s="123" t="s">
        <v>597</v>
      </c>
      <c r="E72" s="124" t="s">
        <v>598</v>
      </c>
      <c r="F72" s="125" t="s">
        <v>152</v>
      </c>
      <c r="G72" s="126">
        <v>41149</v>
      </c>
      <c r="H72" s="127">
        <v>41152</v>
      </c>
      <c r="I72" s="128">
        <f t="shared" ca="1" si="2"/>
        <v>-566</v>
      </c>
      <c r="J72" s="126" t="s">
        <v>89</v>
      </c>
      <c r="K72" s="126" t="s">
        <v>89</v>
      </c>
      <c r="L72" s="126" t="s">
        <v>89</v>
      </c>
      <c r="M72" s="126" t="s">
        <v>89</v>
      </c>
      <c r="N72" s="126">
        <v>41345</v>
      </c>
      <c r="O72" s="126" t="s">
        <v>89</v>
      </c>
      <c r="P72" s="126">
        <v>41358</v>
      </c>
      <c r="Q72" s="129" t="s">
        <v>599</v>
      </c>
      <c r="R72" s="123"/>
    </row>
    <row r="73" spans="1:18" s="20" customFormat="1" ht="126" x14ac:dyDescent="0.2">
      <c r="A73" s="121" t="s">
        <v>600</v>
      </c>
      <c r="B73" s="122">
        <v>1080578526</v>
      </c>
      <c r="C73" s="123">
        <v>1080578204</v>
      </c>
      <c r="D73" s="123" t="s">
        <v>102</v>
      </c>
      <c r="E73" s="124" t="s">
        <v>601</v>
      </c>
      <c r="F73" s="125" t="s">
        <v>102</v>
      </c>
      <c r="G73" s="126">
        <v>40679</v>
      </c>
      <c r="H73" s="127">
        <v>41470</v>
      </c>
      <c r="I73" s="128">
        <f t="shared" ca="1" si="2"/>
        <v>-340</v>
      </c>
      <c r="J73" s="126" t="s">
        <v>89</v>
      </c>
      <c r="K73" s="126" t="s">
        <v>89</v>
      </c>
      <c r="L73" s="126" t="s">
        <v>88</v>
      </c>
      <c r="M73" s="126" t="s">
        <v>89</v>
      </c>
      <c r="N73" s="126" t="s">
        <v>88</v>
      </c>
      <c r="O73" s="126" t="s">
        <v>88</v>
      </c>
      <c r="P73" s="126">
        <v>41359</v>
      </c>
      <c r="Q73" s="129" t="s">
        <v>602</v>
      </c>
      <c r="R73" s="131" t="s">
        <v>471</v>
      </c>
    </row>
    <row r="74" spans="1:18" s="20" customFormat="1" ht="72" x14ac:dyDescent="0.2">
      <c r="A74" s="121" t="s">
        <v>603</v>
      </c>
      <c r="B74" s="122">
        <v>1080579706</v>
      </c>
      <c r="C74" s="123">
        <v>1080579593</v>
      </c>
      <c r="D74" s="123" t="s">
        <v>134</v>
      </c>
      <c r="E74" s="124" t="s">
        <v>604</v>
      </c>
      <c r="F74" s="125" t="s">
        <v>215</v>
      </c>
      <c r="G74" s="126">
        <v>40899</v>
      </c>
      <c r="H74" s="127">
        <v>41281</v>
      </c>
      <c r="I74" s="128">
        <f t="shared" ca="1" si="2"/>
        <v>-475</v>
      </c>
      <c r="J74" s="126" t="s">
        <v>88</v>
      </c>
      <c r="K74" s="126" t="s">
        <v>88</v>
      </c>
      <c r="L74" s="126" t="s">
        <v>89</v>
      </c>
      <c r="M74" s="126" t="s">
        <v>89</v>
      </c>
      <c r="N74" s="126" t="s">
        <v>88</v>
      </c>
      <c r="O74" s="126" t="s">
        <v>88</v>
      </c>
      <c r="P74" s="126">
        <v>41361</v>
      </c>
      <c r="Q74" s="129" t="s">
        <v>605</v>
      </c>
      <c r="R74" s="131"/>
    </row>
    <row r="75" spans="1:18" s="20" customFormat="1" ht="54" x14ac:dyDescent="0.2">
      <c r="A75" s="140" t="s">
        <v>606</v>
      </c>
      <c r="B75" s="122">
        <v>1080580802</v>
      </c>
      <c r="C75" s="123">
        <v>1080580661</v>
      </c>
      <c r="D75" s="123" t="s">
        <v>607</v>
      </c>
      <c r="E75" s="124" t="s">
        <v>608</v>
      </c>
      <c r="F75" s="125" t="s">
        <v>181</v>
      </c>
      <c r="G75" s="126">
        <v>41078</v>
      </c>
      <c r="H75" s="127">
        <v>41152</v>
      </c>
      <c r="I75" s="128">
        <f t="shared" ca="1" si="2"/>
        <v>-566</v>
      </c>
      <c r="J75" s="126" t="s">
        <v>89</v>
      </c>
      <c r="K75" s="126">
        <v>41073</v>
      </c>
      <c r="L75" s="126" t="s">
        <v>89</v>
      </c>
      <c r="M75" s="126" t="s">
        <v>89</v>
      </c>
      <c r="N75" s="126">
        <v>41225</v>
      </c>
      <c r="O75" s="126">
        <v>41225</v>
      </c>
      <c r="P75" s="126">
        <v>41361</v>
      </c>
      <c r="Q75" s="129" t="s">
        <v>609</v>
      </c>
      <c r="R75" s="123"/>
    </row>
    <row r="76" spans="1:18" s="20" customFormat="1" ht="54" x14ac:dyDescent="0.2">
      <c r="A76" s="140" t="s">
        <v>610</v>
      </c>
      <c r="B76" s="122">
        <v>1080580885</v>
      </c>
      <c r="C76" s="123">
        <v>1080580600</v>
      </c>
      <c r="D76" s="123" t="s">
        <v>611</v>
      </c>
      <c r="E76" s="124" t="s">
        <v>612</v>
      </c>
      <c r="F76" s="125" t="s">
        <v>181</v>
      </c>
      <c r="G76" s="126">
        <v>41092</v>
      </c>
      <c r="H76" s="127">
        <v>41173</v>
      </c>
      <c r="I76" s="128">
        <f t="shared" ca="1" si="2"/>
        <v>-551</v>
      </c>
      <c r="J76" s="126">
        <v>41134</v>
      </c>
      <c r="K76" s="126">
        <v>41073</v>
      </c>
      <c r="L76" s="126">
        <v>41330</v>
      </c>
      <c r="M76" s="126" t="s">
        <v>89</v>
      </c>
      <c r="N76" s="126">
        <v>41225</v>
      </c>
      <c r="O76" s="126" t="s">
        <v>89</v>
      </c>
      <c r="P76" s="126">
        <v>41361</v>
      </c>
      <c r="Q76" s="129" t="s">
        <v>609</v>
      </c>
      <c r="R76" s="123"/>
    </row>
    <row r="77" spans="1:18" s="20" customFormat="1" ht="108" x14ac:dyDescent="0.2">
      <c r="A77" s="140" t="s">
        <v>613</v>
      </c>
      <c r="B77" s="122">
        <v>1080581023</v>
      </c>
      <c r="C77" s="123">
        <v>1080579454</v>
      </c>
      <c r="D77" s="123" t="s">
        <v>614</v>
      </c>
      <c r="E77" s="124" t="s">
        <v>615</v>
      </c>
      <c r="F77" s="125" t="s">
        <v>103</v>
      </c>
      <c r="G77" s="126">
        <v>41121</v>
      </c>
      <c r="H77" s="127">
        <v>41470</v>
      </c>
      <c r="I77" s="128">
        <f t="shared" ca="1" si="2"/>
        <v>-340</v>
      </c>
      <c r="J77" s="126">
        <v>41171</v>
      </c>
      <c r="K77" s="126" t="s">
        <v>89</v>
      </c>
      <c r="L77" s="126" t="s">
        <v>89</v>
      </c>
      <c r="M77" s="126" t="s">
        <v>89</v>
      </c>
      <c r="N77" s="126">
        <v>41205</v>
      </c>
      <c r="O77" s="126" t="s">
        <v>89</v>
      </c>
      <c r="P77" s="126">
        <v>41361</v>
      </c>
      <c r="Q77" s="129" t="s">
        <v>616</v>
      </c>
      <c r="R77" s="123"/>
    </row>
    <row r="78" spans="1:18" s="20" customFormat="1" ht="72" x14ac:dyDescent="0.2">
      <c r="A78" s="140" t="s">
        <v>617</v>
      </c>
      <c r="B78" s="122">
        <v>1080581188</v>
      </c>
      <c r="C78" s="123">
        <v>1080580967</v>
      </c>
      <c r="D78" s="123" t="s">
        <v>618</v>
      </c>
      <c r="E78" s="124" t="s">
        <v>619</v>
      </c>
      <c r="F78" s="125" t="s">
        <v>244</v>
      </c>
      <c r="G78" s="126">
        <v>41143</v>
      </c>
      <c r="H78" s="127">
        <v>41204</v>
      </c>
      <c r="I78" s="128">
        <f t="shared" ca="1" si="2"/>
        <v>-530</v>
      </c>
      <c r="J78" s="126">
        <v>41158</v>
      </c>
      <c r="K78" s="126" t="s">
        <v>89</v>
      </c>
      <c r="L78" s="126" t="s">
        <v>89</v>
      </c>
      <c r="M78" s="126" t="s">
        <v>89</v>
      </c>
      <c r="N78" s="126">
        <v>41193</v>
      </c>
      <c r="O78" s="126" t="s">
        <v>89</v>
      </c>
      <c r="P78" s="126">
        <v>41361</v>
      </c>
      <c r="Q78" s="129" t="s">
        <v>620</v>
      </c>
      <c r="R78" s="123"/>
    </row>
    <row r="79" spans="1:18" s="20" customFormat="1" ht="270" x14ac:dyDescent="0.2">
      <c r="A79" s="140" t="s">
        <v>621</v>
      </c>
      <c r="B79" s="122">
        <v>1080581539</v>
      </c>
      <c r="C79" s="123">
        <v>1080581390</v>
      </c>
      <c r="D79" s="123" t="s">
        <v>139</v>
      </c>
      <c r="E79" s="124" t="s">
        <v>622</v>
      </c>
      <c r="F79" s="125" t="s">
        <v>157</v>
      </c>
      <c r="G79" s="126">
        <v>41194</v>
      </c>
      <c r="H79" s="127">
        <v>41260</v>
      </c>
      <c r="I79" s="128">
        <f t="shared" ca="1" si="2"/>
        <v>-490</v>
      </c>
      <c r="J79" s="126" t="s">
        <v>89</v>
      </c>
      <c r="K79" s="126" t="s">
        <v>89</v>
      </c>
      <c r="L79" s="126" t="s">
        <v>89</v>
      </c>
      <c r="M79" s="126" t="s">
        <v>89</v>
      </c>
      <c r="N79" s="126">
        <v>41337</v>
      </c>
      <c r="O79" s="126" t="s">
        <v>89</v>
      </c>
      <c r="P79" s="126">
        <v>41361</v>
      </c>
      <c r="Q79" s="129" t="s">
        <v>623</v>
      </c>
      <c r="R79" s="123"/>
    </row>
    <row r="80" spans="1:18" s="20" customFormat="1" ht="90" x14ac:dyDescent="0.2">
      <c r="A80" s="140" t="s">
        <v>624</v>
      </c>
      <c r="B80" s="122">
        <v>1080581789</v>
      </c>
      <c r="C80" s="123">
        <v>1080581764</v>
      </c>
      <c r="D80" s="123"/>
      <c r="E80" s="124" t="s">
        <v>625</v>
      </c>
      <c r="F80" s="125" t="s">
        <v>157</v>
      </c>
      <c r="G80" s="126">
        <v>41228</v>
      </c>
      <c r="H80" s="127">
        <v>41289</v>
      </c>
      <c r="I80" s="128">
        <f t="shared" ca="1" si="2"/>
        <v>-469</v>
      </c>
      <c r="J80" s="126" t="s">
        <v>89</v>
      </c>
      <c r="K80" s="126" t="s">
        <v>89</v>
      </c>
      <c r="L80" s="126" t="s">
        <v>89</v>
      </c>
      <c r="M80" s="126" t="s">
        <v>89</v>
      </c>
      <c r="N80" s="126">
        <v>41337</v>
      </c>
      <c r="O80" s="126" t="s">
        <v>89</v>
      </c>
      <c r="P80" s="126">
        <v>41361</v>
      </c>
      <c r="Q80" s="129" t="s">
        <v>623</v>
      </c>
      <c r="R80" s="123"/>
    </row>
    <row r="81" spans="1:18" s="20" customFormat="1" ht="90" x14ac:dyDescent="0.2">
      <c r="A81" s="121" t="s">
        <v>626</v>
      </c>
      <c r="B81" s="122">
        <v>1080579637</v>
      </c>
      <c r="C81" s="123">
        <v>1080579448</v>
      </c>
      <c r="D81" s="123" t="s">
        <v>134</v>
      </c>
      <c r="E81" s="124" t="s">
        <v>627</v>
      </c>
      <c r="F81" s="125">
        <v>39</v>
      </c>
      <c r="G81" s="126">
        <v>40886</v>
      </c>
      <c r="H81" s="127">
        <v>41281</v>
      </c>
      <c r="I81" s="128">
        <f t="shared" ca="1" si="2"/>
        <v>-475</v>
      </c>
      <c r="J81" s="126" t="s">
        <v>89</v>
      </c>
      <c r="K81" s="126" t="s">
        <v>89</v>
      </c>
      <c r="L81" s="126" t="s">
        <v>89</v>
      </c>
      <c r="M81" s="126" t="s">
        <v>89</v>
      </c>
      <c r="N81" s="126" t="s">
        <v>88</v>
      </c>
      <c r="O81" s="126" t="s">
        <v>89</v>
      </c>
      <c r="P81" s="126">
        <v>41365</v>
      </c>
      <c r="Q81" s="129" t="s">
        <v>628</v>
      </c>
      <c r="R81" s="131"/>
    </row>
    <row r="82" spans="1:18" s="20" customFormat="1" ht="72" x14ac:dyDescent="0.2">
      <c r="A82" s="140" t="s">
        <v>629</v>
      </c>
      <c r="B82" s="122">
        <v>1080580668</v>
      </c>
      <c r="C82" s="123">
        <v>1080580668</v>
      </c>
      <c r="D82" s="123">
        <v>900</v>
      </c>
      <c r="E82" s="124" t="s">
        <v>630</v>
      </c>
      <c r="F82" s="125" t="s">
        <v>631</v>
      </c>
      <c r="G82" s="126">
        <v>41051</v>
      </c>
      <c r="H82" s="127">
        <v>41117</v>
      </c>
      <c r="I82" s="128">
        <f t="shared" ca="1" si="2"/>
        <v>-591</v>
      </c>
      <c r="J82" s="126" t="s">
        <v>89</v>
      </c>
      <c r="K82" s="126">
        <v>40976</v>
      </c>
      <c r="L82" s="126" t="s">
        <v>89</v>
      </c>
      <c r="M82" s="126" t="s">
        <v>89</v>
      </c>
      <c r="N82" s="126">
        <v>41046</v>
      </c>
      <c r="O82" s="126">
        <v>41000</v>
      </c>
      <c r="P82" s="126">
        <v>41365</v>
      </c>
      <c r="Q82" s="129" t="s">
        <v>632</v>
      </c>
      <c r="R82" s="123"/>
    </row>
    <row r="83" spans="1:18" s="20" customFormat="1" ht="90" x14ac:dyDescent="0.2">
      <c r="A83" s="140" t="s">
        <v>633</v>
      </c>
      <c r="B83" s="122">
        <v>1080580823</v>
      </c>
      <c r="C83" s="123">
        <v>1080579846</v>
      </c>
      <c r="D83" s="123" t="s">
        <v>634</v>
      </c>
      <c r="E83" s="124" t="s">
        <v>635</v>
      </c>
      <c r="F83" s="125" t="s">
        <v>181</v>
      </c>
      <c r="G83" s="126">
        <v>41080</v>
      </c>
      <c r="H83" s="127">
        <v>41159</v>
      </c>
      <c r="I83" s="128">
        <f t="shared" ca="1" si="2"/>
        <v>-561</v>
      </c>
      <c r="J83" s="126">
        <v>41134</v>
      </c>
      <c r="K83" s="126" t="s">
        <v>88</v>
      </c>
      <c r="L83" s="126" t="s">
        <v>89</v>
      </c>
      <c r="M83" s="126" t="s">
        <v>89</v>
      </c>
      <c r="N83" s="126">
        <v>41312</v>
      </c>
      <c r="O83" s="126" t="s">
        <v>89</v>
      </c>
      <c r="P83" s="126">
        <v>41365</v>
      </c>
      <c r="Q83" s="129" t="s">
        <v>589</v>
      </c>
      <c r="R83" s="123"/>
    </row>
    <row r="84" spans="1:18" s="20" customFormat="1" ht="54" x14ac:dyDescent="0.2">
      <c r="A84" s="140" t="s">
        <v>636</v>
      </c>
      <c r="B84" s="122">
        <v>1080581025</v>
      </c>
      <c r="C84" s="123" t="s">
        <v>637</v>
      </c>
      <c r="D84" s="123" t="s">
        <v>134</v>
      </c>
      <c r="E84" s="124" t="s">
        <v>638</v>
      </c>
      <c r="F84" s="125" t="s">
        <v>639</v>
      </c>
      <c r="G84" s="126">
        <v>41121</v>
      </c>
      <c r="H84" s="127">
        <v>41187</v>
      </c>
      <c r="I84" s="128">
        <f t="shared" ca="1" si="2"/>
        <v>-541</v>
      </c>
      <c r="J84" s="126">
        <v>41200</v>
      </c>
      <c r="K84" s="126">
        <v>41332</v>
      </c>
      <c r="L84" s="126" t="s">
        <v>89</v>
      </c>
      <c r="M84" s="126" t="s">
        <v>89</v>
      </c>
      <c r="N84" s="126">
        <v>41177</v>
      </c>
      <c r="O84" s="126">
        <v>41361</v>
      </c>
      <c r="P84" s="126">
        <v>41365</v>
      </c>
      <c r="Q84" s="129" t="s">
        <v>640</v>
      </c>
      <c r="R84" s="123"/>
    </row>
    <row r="85" spans="1:18" s="20" customFormat="1" ht="162" x14ac:dyDescent="0.2">
      <c r="A85" s="140" t="s">
        <v>641</v>
      </c>
      <c r="B85" s="122">
        <v>1080581569</v>
      </c>
      <c r="C85" s="123">
        <v>1080581542</v>
      </c>
      <c r="D85" s="123" t="s">
        <v>139</v>
      </c>
      <c r="E85" s="124" t="s">
        <v>642</v>
      </c>
      <c r="F85" s="125" t="s">
        <v>157</v>
      </c>
      <c r="G85" s="126">
        <v>41200</v>
      </c>
      <c r="H85" s="127">
        <v>41261</v>
      </c>
      <c r="I85" s="128">
        <f t="shared" ca="1" si="2"/>
        <v>-489</v>
      </c>
      <c r="J85" s="126" t="s">
        <v>89</v>
      </c>
      <c r="K85" s="126" t="s">
        <v>89</v>
      </c>
      <c r="L85" s="126">
        <v>41333</v>
      </c>
      <c r="M85" s="126" t="s">
        <v>89</v>
      </c>
      <c r="N85" s="126">
        <v>41337</v>
      </c>
      <c r="O85" s="126" t="s">
        <v>89</v>
      </c>
      <c r="P85" s="126">
        <v>41365</v>
      </c>
      <c r="Q85" s="129" t="s">
        <v>640</v>
      </c>
      <c r="R85" s="123"/>
    </row>
    <row r="86" spans="1:18" s="20" customFormat="1" ht="108" x14ac:dyDescent="0.2">
      <c r="A86" s="140" t="s">
        <v>643</v>
      </c>
      <c r="B86" s="122">
        <v>1080581887</v>
      </c>
      <c r="C86" s="123">
        <v>180579879</v>
      </c>
      <c r="D86" s="123" t="s">
        <v>134</v>
      </c>
      <c r="E86" s="124" t="s">
        <v>644</v>
      </c>
      <c r="F86" s="125" t="s">
        <v>111</v>
      </c>
      <c r="G86" s="126">
        <v>41247</v>
      </c>
      <c r="H86" s="127">
        <v>41281</v>
      </c>
      <c r="I86" s="128">
        <f t="shared" ca="1" si="2"/>
        <v>-475</v>
      </c>
      <c r="J86" s="126" t="s">
        <v>89</v>
      </c>
      <c r="K86" s="126">
        <v>41287</v>
      </c>
      <c r="L86" s="126" t="s">
        <v>89</v>
      </c>
      <c r="M86" s="126" t="s">
        <v>89</v>
      </c>
      <c r="N86" s="126">
        <v>41312</v>
      </c>
      <c r="O86" s="126" t="s">
        <v>89</v>
      </c>
      <c r="P86" s="126">
        <v>41365</v>
      </c>
      <c r="Q86" s="129" t="s">
        <v>645</v>
      </c>
      <c r="R86" s="123"/>
    </row>
    <row r="87" spans="1:18" s="20" customFormat="1" ht="144" x14ac:dyDescent="0.2">
      <c r="A87" s="140" t="s">
        <v>646</v>
      </c>
      <c r="B87" s="122">
        <v>1080580825</v>
      </c>
      <c r="C87" s="123">
        <v>1080579544</v>
      </c>
      <c r="D87" s="123" t="s">
        <v>647</v>
      </c>
      <c r="E87" s="124" t="s">
        <v>648</v>
      </c>
      <c r="F87" s="125" t="s">
        <v>631</v>
      </c>
      <c r="G87" s="126">
        <v>41080</v>
      </c>
      <c r="H87" s="127">
        <v>41159</v>
      </c>
      <c r="I87" s="128">
        <f t="shared" ca="1" si="2"/>
        <v>-561</v>
      </c>
      <c r="J87" s="126" t="s">
        <v>89</v>
      </c>
      <c r="K87" s="126">
        <v>41046</v>
      </c>
      <c r="L87" s="126" t="s">
        <v>89</v>
      </c>
      <c r="M87" s="126" t="s">
        <v>89</v>
      </c>
      <c r="N87" s="126">
        <v>40892</v>
      </c>
      <c r="O87" s="126" t="s">
        <v>89</v>
      </c>
      <c r="P87" s="126">
        <v>41365</v>
      </c>
      <c r="Q87" s="129" t="s">
        <v>632</v>
      </c>
      <c r="R87" s="123"/>
    </row>
    <row r="88" spans="1:18" s="20" customFormat="1" ht="108" x14ac:dyDescent="0.2">
      <c r="A88" s="151" t="s">
        <v>649</v>
      </c>
      <c r="B88" s="132">
        <v>1080581469</v>
      </c>
      <c r="C88" s="133">
        <v>1080581395</v>
      </c>
      <c r="D88" s="133">
        <v>900</v>
      </c>
      <c r="E88" s="134" t="s">
        <v>650</v>
      </c>
      <c r="F88" s="135" t="s">
        <v>651</v>
      </c>
      <c r="G88" s="136">
        <v>41183</v>
      </c>
      <c r="H88" s="137">
        <v>41246</v>
      </c>
      <c r="I88" s="138">
        <f t="shared" ca="1" si="2"/>
        <v>-500</v>
      </c>
      <c r="J88" s="136">
        <v>41345</v>
      </c>
      <c r="K88" s="136" t="s">
        <v>89</v>
      </c>
      <c r="L88" s="136" t="s">
        <v>89</v>
      </c>
      <c r="M88" s="136" t="s">
        <v>89</v>
      </c>
      <c r="N88" s="136">
        <v>41193</v>
      </c>
      <c r="O88" s="136" t="s">
        <v>89</v>
      </c>
      <c r="P88" s="152">
        <v>41366</v>
      </c>
      <c r="Q88" s="129" t="s">
        <v>640</v>
      </c>
      <c r="R88" s="123"/>
    </row>
    <row r="89" spans="1:18" s="20" customFormat="1" ht="36" x14ac:dyDescent="0.2">
      <c r="A89" s="121" t="s">
        <v>652</v>
      </c>
      <c r="B89" s="122">
        <v>1080579389</v>
      </c>
      <c r="C89" s="123">
        <v>1080578974</v>
      </c>
      <c r="D89" s="123" t="s">
        <v>134</v>
      </c>
      <c r="E89" s="124" t="s">
        <v>653</v>
      </c>
      <c r="F89" s="125" t="s">
        <v>111</v>
      </c>
      <c r="G89" s="126">
        <v>40847</v>
      </c>
      <c r="H89" s="127">
        <v>41281</v>
      </c>
      <c r="I89" s="128">
        <f t="shared" ca="1" si="2"/>
        <v>-475</v>
      </c>
      <c r="J89" s="126" t="s">
        <v>88</v>
      </c>
      <c r="K89" s="126" t="s">
        <v>88</v>
      </c>
      <c r="L89" s="126" t="s">
        <v>88</v>
      </c>
      <c r="M89" s="126" t="s">
        <v>89</v>
      </c>
      <c r="N89" s="126" t="s">
        <v>88</v>
      </c>
      <c r="O89" s="126" t="s">
        <v>88</v>
      </c>
      <c r="P89" s="126">
        <v>41379</v>
      </c>
      <c r="Q89" s="129" t="s">
        <v>654</v>
      </c>
      <c r="R89" s="131"/>
    </row>
    <row r="90" spans="1:18" s="20" customFormat="1" ht="108" x14ac:dyDescent="0.2">
      <c r="A90" s="140" t="s">
        <v>655</v>
      </c>
      <c r="B90" s="122">
        <v>1080581286</v>
      </c>
      <c r="C90" s="123">
        <v>1080581126</v>
      </c>
      <c r="D90" s="123" t="s">
        <v>656</v>
      </c>
      <c r="E90" s="124" t="s">
        <v>657</v>
      </c>
      <c r="F90" s="125" t="s">
        <v>174</v>
      </c>
      <c r="G90" s="126">
        <v>41156</v>
      </c>
      <c r="H90" s="127">
        <v>41218</v>
      </c>
      <c r="I90" s="128">
        <f t="shared" ca="1" si="2"/>
        <v>-520</v>
      </c>
      <c r="J90" s="126" t="s">
        <v>89</v>
      </c>
      <c r="K90" s="126" t="s">
        <v>89</v>
      </c>
      <c r="L90" s="126" t="s">
        <v>89</v>
      </c>
      <c r="M90" s="126" t="s">
        <v>89</v>
      </c>
      <c r="N90" s="126">
        <v>41374</v>
      </c>
      <c r="O90" s="126" t="s">
        <v>89</v>
      </c>
      <c r="P90" s="126">
        <v>41380</v>
      </c>
      <c r="Q90" s="129" t="s">
        <v>658</v>
      </c>
      <c r="R90" s="123"/>
    </row>
    <row r="91" spans="1:18" s="20" customFormat="1" ht="72" x14ac:dyDescent="0.2">
      <c r="A91" s="121" t="s">
        <v>663</v>
      </c>
      <c r="B91" s="122">
        <v>1080579294</v>
      </c>
      <c r="C91" s="123">
        <v>1080578977</v>
      </c>
      <c r="D91" s="123" t="s">
        <v>134</v>
      </c>
      <c r="E91" s="124" t="s">
        <v>664</v>
      </c>
      <c r="F91" s="125">
        <v>43</v>
      </c>
      <c r="G91" s="126">
        <v>40823</v>
      </c>
      <c r="H91" s="127">
        <v>41281</v>
      </c>
      <c r="I91" s="128">
        <f t="shared" ca="1" si="2"/>
        <v>-475</v>
      </c>
      <c r="J91" s="126" t="s">
        <v>88</v>
      </c>
      <c r="K91" s="126" t="s">
        <v>88</v>
      </c>
      <c r="L91" s="126" t="s">
        <v>88</v>
      </c>
      <c r="M91" s="126" t="s">
        <v>89</v>
      </c>
      <c r="N91" s="126" t="s">
        <v>88</v>
      </c>
      <c r="O91" s="126" t="s">
        <v>89</v>
      </c>
      <c r="P91" s="126">
        <v>41382</v>
      </c>
      <c r="Q91" s="129" t="s">
        <v>665</v>
      </c>
      <c r="R91" s="131"/>
    </row>
    <row r="92" spans="1:18" s="20" customFormat="1" ht="144" x14ac:dyDescent="0.2">
      <c r="A92" s="121" t="s">
        <v>659</v>
      </c>
      <c r="B92" s="122">
        <v>1080578188</v>
      </c>
      <c r="C92" s="123">
        <v>1080574971</v>
      </c>
      <c r="D92" s="123" t="s">
        <v>96</v>
      </c>
      <c r="E92" s="124" t="s">
        <v>660</v>
      </c>
      <c r="F92" s="125" t="s">
        <v>661</v>
      </c>
      <c r="G92" s="126">
        <v>40618</v>
      </c>
      <c r="H92" s="127">
        <v>40676</v>
      </c>
      <c r="I92" s="128">
        <f t="shared" ca="1" si="2"/>
        <v>-906</v>
      </c>
      <c r="J92" s="126" t="s">
        <v>89</v>
      </c>
      <c r="K92" s="126" t="s">
        <v>88</v>
      </c>
      <c r="L92" s="126" t="s">
        <v>89</v>
      </c>
      <c r="M92" s="126" t="s">
        <v>89</v>
      </c>
      <c r="N92" s="126" t="s">
        <v>88</v>
      </c>
      <c r="O92" s="126" t="s">
        <v>88</v>
      </c>
      <c r="P92" s="126">
        <v>41383</v>
      </c>
      <c r="Q92" s="129" t="s">
        <v>662</v>
      </c>
      <c r="R92" s="131"/>
    </row>
    <row r="93" spans="1:18" s="20" customFormat="1" ht="54" x14ac:dyDescent="0.2">
      <c r="A93" s="140" t="s">
        <v>666</v>
      </c>
      <c r="B93" s="122">
        <v>1080580800</v>
      </c>
      <c r="C93" s="123">
        <v>1080580519</v>
      </c>
      <c r="D93" s="123" t="s">
        <v>667</v>
      </c>
      <c r="E93" s="124" t="s">
        <v>668</v>
      </c>
      <c r="F93" s="125" t="s">
        <v>277</v>
      </c>
      <c r="G93" s="126">
        <v>41078</v>
      </c>
      <c r="H93" s="127">
        <v>41348</v>
      </c>
      <c r="I93" s="128">
        <f t="shared" ca="1" si="2"/>
        <v>-426</v>
      </c>
      <c r="J93" s="126">
        <v>41312</v>
      </c>
      <c r="K93" s="126" t="s">
        <v>89</v>
      </c>
      <c r="L93" s="126">
        <v>41333</v>
      </c>
      <c r="M93" s="126" t="s">
        <v>89</v>
      </c>
      <c r="N93" s="126" t="s">
        <v>89</v>
      </c>
      <c r="O93" s="126" t="s">
        <v>89</v>
      </c>
      <c r="P93" s="126">
        <v>41383</v>
      </c>
      <c r="Q93" s="129" t="s">
        <v>658</v>
      </c>
      <c r="R93" s="123"/>
    </row>
    <row r="94" spans="1:18" s="20" customFormat="1" ht="198" x14ac:dyDescent="0.2">
      <c r="A94" s="140" t="s">
        <v>672</v>
      </c>
      <c r="B94" s="122">
        <v>1080581269</v>
      </c>
      <c r="C94" s="123">
        <v>1080581202</v>
      </c>
      <c r="D94" s="123" t="s">
        <v>673</v>
      </c>
      <c r="E94" s="124" t="s">
        <v>674</v>
      </c>
      <c r="F94" s="125" t="s">
        <v>675</v>
      </c>
      <c r="G94" s="126">
        <v>41150</v>
      </c>
      <c r="H94" s="127">
        <v>41211</v>
      </c>
      <c r="I94" s="128">
        <f t="shared" ca="1" si="2"/>
        <v>-525</v>
      </c>
      <c r="J94" s="126" t="s">
        <v>89</v>
      </c>
      <c r="K94" s="126">
        <v>41226</v>
      </c>
      <c r="L94" s="126" t="s">
        <v>89</v>
      </c>
      <c r="M94" s="126" t="s">
        <v>89</v>
      </c>
      <c r="N94" s="126">
        <v>41334</v>
      </c>
      <c r="O94" s="126" t="s">
        <v>89</v>
      </c>
      <c r="P94" s="126">
        <v>41383</v>
      </c>
      <c r="Q94" s="129" t="s">
        <v>616</v>
      </c>
      <c r="R94" s="123"/>
    </row>
    <row r="95" spans="1:18" s="20" customFormat="1" ht="198" x14ac:dyDescent="0.2">
      <c r="A95" s="140" t="s">
        <v>676</v>
      </c>
      <c r="B95" s="122">
        <v>1080581560</v>
      </c>
      <c r="C95" s="123">
        <v>1080581485</v>
      </c>
      <c r="D95" s="123" t="s">
        <v>677</v>
      </c>
      <c r="E95" s="124" t="s">
        <v>678</v>
      </c>
      <c r="F95" s="125" t="s">
        <v>679</v>
      </c>
      <c r="G95" s="126">
        <v>41199</v>
      </c>
      <c r="H95" s="127">
        <v>41260</v>
      </c>
      <c r="I95" s="128">
        <f t="shared" ca="1" si="2"/>
        <v>-490</v>
      </c>
      <c r="J95" s="126" t="s">
        <v>89</v>
      </c>
      <c r="K95" s="126">
        <v>41316</v>
      </c>
      <c r="L95" s="126">
        <v>41333</v>
      </c>
      <c r="M95" s="126" t="s">
        <v>89</v>
      </c>
      <c r="N95" s="126">
        <v>41348</v>
      </c>
      <c r="O95" s="126" t="s">
        <v>89</v>
      </c>
      <c r="P95" s="126">
        <v>41383</v>
      </c>
      <c r="Q95" s="129" t="s">
        <v>680</v>
      </c>
      <c r="R95" s="123"/>
    </row>
    <row r="96" spans="1:18" s="20" customFormat="1" ht="378" x14ac:dyDescent="0.2">
      <c r="A96" s="140" t="s">
        <v>681</v>
      </c>
      <c r="B96" s="122">
        <v>1080581961</v>
      </c>
      <c r="C96" s="123">
        <v>1080581853</v>
      </c>
      <c r="D96" s="123" t="s">
        <v>667</v>
      </c>
      <c r="E96" s="124" t="s">
        <v>682</v>
      </c>
      <c r="F96" s="125" t="s">
        <v>277</v>
      </c>
      <c r="G96" s="126">
        <v>41256</v>
      </c>
      <c r="H96" s="127">
        <v>41348</v>
      </c>
      <c r="I96" s="128">
        <f t="shared" ca="1" si="2"/>
        <v>-426</v>
      </c>
      <c r="J96" s="126">
        <v>41281</v>
      </c>
      <c r="K96" s="126">
        <v>41337</v>
      </c>
      <c r="L96" s="126" t="s">
        <v>89</v>
      </c>
      <c r="M96" s="126" t="s">
        <v>89</v>
      </c>
      <c r="N96" s="126">
        <v>41370</v>
      </c>
      <c r="O96" s="126" t="s">
        <v>89</v>
      </c>
      <c r="P96" s="126">
        <v>41383</v>
      </c>
      <c r="Q96" s="129" t="s">
        <v>683</v>
      </c>
      <c r="R96" s="123"/>
    </row>
    <row r="97" spans="1:18" s="20" customFormat="1" ht="198" x14ac:dyDescent="0.2">
      <c r="A97" s="140" t="s">
        <v>687</v>
      </c>
      <c r="B97" s="122">
        <v>1080582463</v>
      </c>
      <c r="C97" s="123">
        <v>1080580075</v>
      </c>
      <c r="D97" s="123" t="s">
        <v>134</v>
      </c>
      <c r="E97" s="124" t="s">
        <v>688</v>
      </c>
      <c r="F97" s="125" t="s">
        <v>255</v>
      </c>
      <c r="G97" s="126">
        <v>41353</v>
      </c>
      <c r="H97" s="127">
        <v>41390</v>
      </c>
      <c r="I97" s="128">
        <f t="shared" ca="1" si="2"/>
        <v>-396</v>
      </c>
      <c r="J97" s="126" t="s">
        <v>89</v>
      </c>
      <c r="K97" s="126" t="s">
        <v>89</v>
      </c>
      <c r="L97" s="126">
        <v>41355</v>
      </c>
      <c r="M97" s="126" t="s">
        <v>89</v>
      </c>
      <c r="N97" s="126">
        <v>41358</v>
      </c>
      <c r="O97" s="126" t="s">
        <v>89</v>
      </c>
      <c r="P97" s="126">
        <v>41383</v>
      </c>
      <c r="Q97" s="129" t="s">
        <v>689</v>
      </c>
      <c r="R97" s="123"/>
    </row>
    <row r="98" spans="1:18" s="20" customFormat="1" ht="72" x14ac:dyDescent="0.2">
      <c r="A98" s="140" t="s">
        <v>690</v>
      </c>
      <c r="B98" s="122">
        <v>1080582484</v>
      </c>
      <c r="C98" s="123">
        <v>180580193</v>
      </c>
      <c r="D98" s="123" t="s">
        <v>134</v>
      </c>
      <c r="E98" s="124" t="s">
        <v>691</v>
      </c>
      <c r="F98" s="125" t="s">
        <v>255</v>
      </c>
      <c r="G98" s="126">
        <v>41360</v>
      </c>
      <c r="H98" s="127">
        <v>41390</v>
      </c>
      <c r="I98" s="128">
        <f t="shared" ref="I98:I129" ca="1" si="3">IF(H98&lt;&gt;0,NETWORKDAYS(TODAY(),H98),"")</f>
        <v>-396</v>
      </c>
      <c r="J98" s="126" t="s">
        <v>89</v>
      </c>
      <c r="K98" s="126" t="s">
        <v>89</v>
      </c>
      <c r="L98" s="126" t="s">
        <v>89</v>
      </c>
      <c r="M98" s="126" t="s">
        <v>89</v>
      </c>
      <c r="N98" s="126">
        <v>41360</v>
      </c>
      <c r="O98" s="126" t="s">
        <v>89</v>
      </c>
      <c r="P98" s="126">
        <v>41383</v>
      </c>
      <c r="Q98" s="129" t="s">
        <v>692</v>
      </c>
      <c r="R98" s="123"/>
    </row>
    <row r="99" spans="1:18" s="20" customFormat="1" ht="180" x14ac:dyDescent="0.2">
      <c r="A99" s="140" t="s">
        <v>699</v>
      </c>
      <c r="B99" s="122">
        <v>1080582507</v>
      </c>
      <c r="C99" s="123">
        <v>1080580322</v>
      </c>
      <c r="D99" s="123" t="s">
        <v>134</v>
      </c>
      <c r="E99" s="124" t="s">
        <v>700</v>
      </c>
      <c r="F99" s="125" t="s">
        <v>255</v>
      </c>
      <c r="G99" s="126">
        <v>41360</v>
      </c>
      <c r="H99" s="127">
        <v>41390</v>
      </c>
      <c r="I99" s="128">
        <f t="shared" ca="1" si="3"/>
        <v>-396</v>
      </c>
      <c r="J99" s="126" t="s">
        <v>89</v>
      </c>
      <c r="K99" s="126" t="s">
        <v>89</v>
      </c>
      <c r="L99" s="126" t="s">
        <v>89</v>
      </c>
      <c r="M99" s="126" t="s">
        <v>89</v>
      </c>
      <c r="N99" s="126">
        <v>41365</v>
      </c>
      <c r="O99" s="126" t="s">
        <v>89</v>
      </c>
      <c r="P99" s="126">
        <v>41383</v>
      </c>
      <c r="Q99" s="129" t="s">
        <v>686</v>
      </c>
      <c r="R99" s="123"/>
    </row>
    <row r="100" spans="1:18" s="20" customFormat="1" ht="108" x14ac:dyDescent="0.2">
      <c r="A100" s="140" t="s">
        <v>669</v>
      </c>
      <c r="B100" s="122">
        <v>1080581162</v>
      </c>
      <c r="C100" s="123">
        <v>1080580929</v>
      </c>
      <c r="D100" s="123" t="s">
        <v>131</v>
      </c>
      <c r="E100" s="124" t="s">
        <v>670</v>
      </c>
      <c r="F100" s="125" t="s">
        <v>244</v>
      </c>
      <c r="G100" s="126">
        <v>41141</v>
      </c>
      <c r="H100" s="127">
        <v>41204</v>
      </c>
      <c r="I100" s="128">
        <f t="shared" ca="1" si="3"/>
        <v>-530</v>
      </c>
      <c r="J100" s="126">
        <v>41305</v>
      </c>
      <c r="K100" s="126" t="s">
        <v>89</v>
      </c>
      <c r="L100" s="126" t="s">
        <v>89</v>
      </c>
      <c r="M100" s="126" t="s">
        <v>89</v>
      </c>
      <c r="N100" s="126">
        <v>41376</v>
      </c>
      <c r="O100" s="126" t="s">
        <v>89</v>
      </c>
      <c r="P100" s="126">
        <v>41386</v>
      </c>
      <c r="Q100" s="129" t="s">
        <v>671</v>
      </c>
      <c r="R100" s="123"/>
    </row>
    <row r="101" spans="1:18" s="20" customFormat="1" ht="162" x14ac:dyDescent="0.2">
      <c r="A101" s="140" t="s">
        <v>684</v>
      </c>
      <c r="B101" s="122">
        <v>1080582508</v>
      </c>
      <c r="C101" s="123">
        <v>1080580356</v>
      </c>
      <c r="D101" s="123" t="s">
        <v>134</v>
      </c>
      <c r="E101" s="124" t="s">
        <v>685</v>
      </c>
      <c r="F101" s="125" t="s">
        <v>255</v>
      </c>
      <c r="G101" s="126">
        <v>41360</v>
      </c>
      <c r="H101" s="127">
        <v>41390</v>
      </c>
      <c r="I101" s="128">
        <f t="shared" ca="1" si="3"/>
        <v>-396</v>
      </c>
      <c r="J101" s="126" t="s">
        <v>89</v>
      </c>
      <c r="K101" s="126" t="s">
        <v>89</v>
      </c>
      <c r="L101" s="126" t="s">
        <v>89</v>
      </c>
      <c r="M101" s="126" t="s">
        <v>89</v>
      </c>
      <c r="N101" s="126">
        <v>41365</v>
      </c>
      <c r="O101" s="126" t="s">
        <v>89</v>
      </c>
      <c r="P101" s="126">
        <v>41386</v>
      </c>
      <c r="Q101" s="129" t="s">
        <v>686</v>
      </c>
      <c r="R101" s="123"/>
    </row>
    <row r="102" spans="1:18" s="20" customFormat="1" ht="180" x14ac:dyDescent="0.2">
      <c r="A102" s="140" t="s">
        <v>693</v>
      </c>
      <c r="B102" s="122">
        <v>1080582538</v>
      </c>
      <c r="C102" s="123">
        <v>1080580548</v>
      </c>
      <c r="D102" s="123" t="s">
        <v>134</v>
      </c>
      <c r="E102" s="124" t="s">
        <v>694</v>
      </c>
      <c r="F102" s="125" t="s">
        <v>255</v>
      </c>
      <c r="G102" s="126">
        <v>41366</v>
      </c>
      <c r="H102" s="127">
        <v>41390</v>
      </c>
      <c r="I102" s="128">
        <f t="shared" ca="1" si="3"/>
        <v>-396</v>
      </c>
      <c r="J102" s="126" t="s">
        <v>89</v>
      </c>
      <c r="K102" s="126" t="s">
        <v>89</v>
      </c>
      <c r="L102" s="126" t="s">
        <v>89</v>
      </c>
      <c r="M102" s="126" t="s">
        <v>89</v>
      </c>
      <c r="N102" s="126">
        <v>41383</v>
      </c>
      <c r="O102" s="126" t="s">
        <v>89</v>
      </c>
      <c r="P102" s="126">
        <v>41386</v>
      </c>
      <c r="Q102" s="129" t="s">
        <v>695</v>
      </c>
      <c r="R102" s="123"/>
    </row>
    <row r="103" spans="1:18" s="20" customFormat="1" ht="72" x14ac:dyDescent="0.2">
      <c r="A103" s="140" t="s">
        <v>696</v>
      </c>
      <c r="B103" s="122">
        <v>1080582589</v>
      </c>
      <c r="C103" s="123">
        <v>1080581167</v>
      </c>
      <c r="D103" s="123" t="s">
        <v>134</v>
      </c>
      <c r="E103" s="124" t="s">
        <v>697</v>
      </c>
      <c r="F103" s="125" t="s">
        <v>184</v>
      </c>
      <c r="G103" s="126">
        <v>41373</v>
      </c>
      <c r="H103" s="127">
        <v>41390</v>
      </c>
      <c r="I103" s="128">
        <f t="shared" ca="1" si="3"/>
        <v>-396</v>
      </c>
      <c r="J103" s="126" t="s">
        <v>89</v>
      </c>
      <c r="K103" s="126" t="s">
        <v>89</v>
      </c>
      <c r="L103" s="126" t="s">
        <v>89</v>
      </c>
      <c r="M103" s="126" t="s">
        <v>89</v>
      </c>
      <c r="N103" s="126">
        <v>41383</v>
      </c>
      <c r="O103" s="126" t="s">
        <v>89</v>
      </c>
      <c r="P103" s="126">
        <v>41386</v>
      </c>
      <c r="Q103" s="129" t="s">
        <v>698</v>
      </c>
      <c r="R103" s="123"/>
    </row>
    <row r="104" spans="1:18" s="20" customFormat="1" ht="72" x14ac:dyDescent="0.2">
      <c r="A104" s="140" t="s">
        <v>701</v>
      </c>
      <c r="B104" s="122">
        <v>1080581559</v>
      </c>
      <c r="C104" s="123">
        <v>1080580675</v>
      </c>
      <c r="D104" s="123" t="s">
        <v>702</v>
      </c>
      <c r="E104" s="124" t="s">
        <v>703</v>
      </c>
      <c r="F104" s="125" t="s">
        <v>174</v>
      </c>
      <c r="G104" s="126">
        <v>41199</v>
      </c>
      <c r="H104" s="127">
        <v>41260</v>
      </c>
      <c r="I104" s="128">
        <f t="shared" ca="1" si="3"/>
        <v>-490</v>
      </c>
      <c r="J104" s="126" t="s">
        <v>89</v>
      </c>
      <c r="K104" s="126" t="s">
        <v>89</v>
      </c>
      <c r="L104" s="126" t="s">
        <v>89</v>
      </c>
      <c r="M104" s="126" t="s">
        <v>89</v>
      </c>
      <c r="N104" s="126">
        <v>41359</v>
      </c>
      <c r="O104" s="126">
        <v>41361</v>
      </c>
      <c r="P104" s="126">
        <v>41400</v>
      </c>
      <c r="Q104" s="129" t="s">
        <v>704</v>
      </c>
      <c r="R104" s="123"/>
    </row>
    <row r="105" spans="1:18" s="20" customFormat="1" ht="108" x14ac:dyDescent="0.2">
      <c r="A105" s="140" t="s">
        <v>705</v>
      </c>
      <c r="B105" s="122">
        <v>1080581822</v>
      </c>
      <c r="C105" s="123">
        <v>1080581767</v>
      </c>
      <c r="D105" s="123" t="s">
        <v>706</v>
      </c>
      <c r="E105" s="124" t="s">
        <v>707</v>
      </c>
      <c r="F105" s="125" t="s">
        <v>181</v>
      </c>
      <c r="G105" s="126">
        <v>41234</v>
      </c>
      <c r="H105" s="127">
        <v>41425</v>
      </c>
      <c r="I105" s="128">
        <f t="shared" ca="1" si="3"/>
        <v>-371</v>
      </c>
      <c r="J105" s="126" t="s">
        <v>89</v>
      </c>
      <c r="K105" s="126">
        <v>41374</v>
      </c>
      <c r="L105" s="126" t="s">
        <v>89</v>
      </c>
      <c r="M105" s="126" t="s">
        <v>89</v>
      </c>
      <c r="N105" s="126">
        <v>41381</v>
      </c>
      <c r="O105" s="126" t="s">
        <v>89</v>
      </c>
      <c r="P105" s="126">
        <v>41400</v>
      </c>
      <c r="Q105" s="129" t="s">
        <v>599</v>
      </c>
      <c r="R105" s="123"/>
    </row>
    <row r="106" spans="1:18" s="20" customFormat="1" ht="126" x14ac:dyDescent="0.2">
      <c r="A106" s="140" t="s">
        <v>708</v>
      </c>
      <c r="B106" s="122">
        <v>1080581909</v>
      </c>
      <c r="C106" s="123">
        <v>1080580973</v>
      </c>
      <c r="D106" s="123" t="s">
        <v>134</v>
      </c>
      <c r="E106" s="124" t="s">
        <v>709</v>
      </c>
      <c r="F106" s="125" t="s">
        <v>111</v>
      </c>
      <c r="G106" s="126">
        <v>41249</v>
      </c>
      <c r="H106" s="127">
        <v>41281</v>
      </c>
      <c r="I106" s="128">
        <f t="shared" ca="1" si="3"/>
        <v>-475</v>
      </c>
      <c r="J106" s="126" t="s">
        <v>89</v>
      </c>
      <c r="K106" s="126" t="s">
        <v>89</v>
      </c>
      <c r="L106" s="126" t="s">
        <v>89</v>
      </c>
      <c r="M106" s="126" t="s">
        <v>89</v>
      </c>
      <c r="N106" s="126">
        <v>41374</v>
      </c>
      <c r="O106" s="126" t="s">
        <v>89</v>
      </c>
      <c r="P106" s="126">
        <v>41400</v>
      </c>
      <c r="Q106" s="129" t="s">
        <v>710</v>
      </c>
      <c r="R106" s="123"/>
    </row>
    <row r="107" spans="1:18" s="20" customFormat="1" ht="108" x14ac:dyDescent="0.2">
      <c r="A107" s="140" t="s">
        <v>711</v>
      </c>
      <c r="B107" s="122">
        <v>1080581924</v>
      </c>
      <c r="C107" s="123">
        <v>1080581820</v>
      </c>
      <c r="D107" s="123" t="s">
        <v>139</v>
      </c>
      <c r="E107" s="124" t="s">
        <v>712</v>
      </c>
      <c r="F107" s="125" t="s">
        <v>713</v>
      </c>
      <c r="G107" s="126">
        <v>41250</v>
      </c>
      <c r="H107" s="127">
        <v>41395</v>
      </c>
      <c r="I107" s="128">
        <f t="shared" ca="1" si="3"/>
        <v>-393</v>
      </c>
      <c r="J107" s="126" t="s">
        <v>89</v>
      </c>
      <c r="K107" s="126" t="s">
        <v>89</v>
      </c>
      <c r="L107" s="126" t="s">
        <v>89</v>
      </c>
      <c r="M107" s="126" t="s">
        <v>89</v>
      </c>
      <c r="N107" s="126">
        <v>41358</v>
      </c>
      <c r="O107" s="126" t="s">
        <v>89</v>
      </c>
      <c r="P107" s="126">
        <v>41400</v>
      </c>
      <c r="Q107" s="129" t="s">
        <v>710</v>
      </c>
      <c r="R107" s="123"/>
    </row>
    <row r="108" spans="1:18" s="20" customFormat="1" ht="270" x14ac:dyDescent="0.2">
      <c r="A108" s="140" t="s">
        <v>714</v>
      </c>
      <c r="B108" s="122">
        <v>1080582480</v>
      </c>
      <c r="C108" s="123">
        <v>1080580126</v>
      </c>
      <c r="D108" s="123" t="s">
        <v>134</v>
      </c>
      <c r="E108" s="124" t="s">
        <v>715</v>
      </c>
      <c r="F108" s="125" t="s">
        <v>255</v>
      </c>
      <c r="G108" s="126">
        <v>41355</v>
      </c>
      <c r="H108" s="127">
        <v>41390</v>
      </c>
      <c r="I108" s="128">
        <f t="shared" ca="1" si="3"/>
        <v>-396</v>
      </c>
      <c r="J108" s="126" t="s">
        <v>89</v>
      </c>
      <c r="K108" s="126" t="s">
        <v>89</v>
      </c>
      <c r="L108" s="126">
        <v>41355</v>
      </c>
      <c r="M108" s="126" t="s">
        <v>89</v>
      </c>
      <c r="N108" s="126">
        <v>41383</v>
      </c>
      <c r="O108" s="126" t="s">
        <v>89</v>
      </c>
      <c r="P108" s="126">
        <v>41400</v>
      </c>
      <c r="Q108" s="129" t="s">
        <v>695</v>
      </c>
      <c r="R108" s="123"/>
    </row>
    <row r="109" spans="1:18" s="20" customFormat="1" ht="126" x14ac:dyDescent="0.2">
      <c r="A109" s="121" t="s">
        <v>716</v>
      </c>
      <c r="B109" s="122">
        <v>1080579627</v>
      </c>
      <c r="C109" s="123" t="s">
        <v>717</v>
      </c>
      <c r="D109" s="123" t="s">
        <v>134</v>
      </c>
      <c r="E109" s="124" t="s">
        <v>718</v>
      </c>
      <c r="F109" s="125" t="s">
        <v>111</v>
      </c>
      <c r="G109" s="126">
        <v>40886</v>
      </c>
      <c r="H109" s="127">
        <v>41281</v>
      </c>
      <c r="I109" s="128">
        <f t="shared" ca="1" si="3"/>
        <v>-475</v>
      </c>
      <c r="J109" s="126" t="s">
        <v>88</v>
      </c>
      <c r="K109" s="126" t="s">
        <v>88</v>
      </c>
      <c r="L109" s="126" t="s">
        <v>88</v>
      </c>
      <c r="M109" s="126" t="s">
        <v>89</v>
      </c>
      <c r="N109" s="126" t="s">
        <v>88</v>
      </c>
      <c r="O109" s="126" t="s">
        <v>88</v>
      </c>
      <c r="P109" s="126">
        <v>41411</v>
      </c>
      <c r="Q109" s="129" t="s">
        <v>671</v>
      </c>
      <c r="R109" s="131"/>
    </row>
    <row r="110" spans="1:18" s="20" customFormat="1" ht="72" x14ac:dyDescent="0.2">
      <c r="A110" s="140" t="s">
        <v>719</v>
      </c>
      <c r="B110" s="122">
        <v>1080581628</v>
      </c>
      <c r="C110" s="123">
        <v>1080579453</v>
      </c>
      <c r="D110" s="123" t="s">
        <v>614</v>
      </c>
      <c r="E110" s="124" t="s">
        <v>720</v>
      </c>
      <c r="F110" s="125" t="s">
        <v>481</v>
      </c>
      <c r="G110" s="126">
        <v>41207</v>
      </c>
      <c r="H110" s="127">
        <v>41470</v>
      </c>
      <c r="I110" s="128">
        <f t="shared" ca="1" si="3"/>
        <v>-340</v>
      </c>
      <c r="J110" s="126">
        <v>41404</v>
      </c>
      <c r="K110" s="126" t="s">
        <v>89</v>
      </c>
      <c r="L110" s="126" t="s">
        <v>89</v>
      </c>
      <c r="M110" s="126" t="s">
        <v>89</v>
      </c>
      <c r="N110" s="126" t="s">
        <v>89</v>
      </c>
      <c r="O110" s="126" t="s">
        <v>89</v>
      </c>
      <c r="P110" s="126">
        <v>41411</v>
      </c>
      <c r="Q110" s="129" t="s">
        <v>721</v>
      </c>
      <c r="R110" s="123"/>
    </row>
    <row r="111" spans="1:18" s="20" customFormat="1" ht="144" x14ac:dyDescent="0.2">
      <c r="A111" s="121" t="s">
        <v>722</v>
      </c>
      <c r="B111" s="122">
        <v>1080578750</v>
      </c>
      <c r="C111" s="123">
        <v>1080578558</v>
      </c>
      <c r="D111" s="123" t="s">
        <v>398</v>
      </c>
      <c r="E111" s="124" t="s">
        <v>723</v>
      </c>
      <c r="F111" s="125">
        <v>60</v>
      </c>
      <c r="G111" s="126">
        <v>40722</v>
      </c>
      <c r="H111" s="127">
        <v>40785</v>
      </c>
      <c r="I111" s="128">
        <f t="shared" ca="1" si="3"/>
        <v>-829</v>
      </c>
      <c r="J111" s="126" t="s">
        <v>88</v>
      </c>
      <c r="K111" s="126" t="s">
        <v>89</v>
      </c>
      <c r="L111" s="126" t="s">
        <v>89</v>
      </c>
      <c r="M111" s="126" t="s">
        <v>89</v>
      </c>
      <c r="N111" s="126" t="s">
        <v>88</v>
      </c>
      <c r="O111" s="126" t="s">
        <v>88</v>
      </c>
      <c r="P111" s="126">
        <v>41417</v>
      </c>
      <c r="Q111" s="129" t="s">
        <v>535</v>
      </c>
      <c r="R111" s="131" t="s">
        <v>724</v>
      </c>
    </row>
    <row r="112" spans="1:18" s="20" customFormat="1" ht="54" x14ac:dyDescent="0.2">
      <c r="A112" s="121" t="s">
        <v>725</v>
      </c>
      <c r="B112" s="122">
        <v>1080579405</v>
      </c>
      <c r="C112" s="123">
        <v>1080578876</v>
      </c>
      <c r="D112" s="123" t="s">
        <v>634</v>
      </c>
      <c r="E112" s="124" t="s">
        <v>726</v>
      </c>
      <c r="F112" s="125" t="s">
        <v>539</v>
      </c>
      <c r="G112" s="126">
        <v>40848</v>
      </c>
      <c r="H112" s="127">
        <v>41152</v>
      </c>
      <c r="I112" s="128">
        <f t="shared" ca="1" si="3"/>
        <v>-566</v>
      </c>
      <c r="J112" s="126" t="s">
        <v>89</v>
      </c>
      <c r="K112" s="126" t="s">
        <v>88</v>
      </c>
      <c r="L112" s="126" t="s">
        <v>89</v>
      </c>
      <c r="M112" s="126" t="s">
        <v>89</v>
      </c>
      <c r="N112" s="126" t="s">
        <v>88</v>
      </c>
      <c r="O112" s="126" t="s">
        <v>89</v>
      </c>
      <c r="P112" s="126">
        <v>41417</v>
      </c>
      <c r="Q112" s="129" t="s">
        <v>727</v>
      </c>
      <c r="R112" s="131"/>
    </row>
    <row r="113" spans="1:18" s="20" customFormat="1" ht="234" x14ac:dyDescent="0.2">
      <c r="A113" s="140" t="s">
        <v>728</v>
      </c>
      <c r="B113" s="122">
        <v>1080581915</v>
      </c>
      <c r="C113" s="123">
        <v>1080581131</v>
      </c>
      <c r="D113" s="123" t="s">
        <v>134</v>
      </c>
      <c r="E113" s="124" t="s">
        <v>729</v>
      </c>
      <c r="F113" s="125" t="s">
        <v>111</v>
      </c>
      <c r="G113" s="126">
        <v>41249</v>
      </c>
      <c r="H113" s="127">
        <v>41281</v>
      </c>
      <c r="I113" s="128">
        <f t="shared" ca="1" si="3"/>
        <v>-475</v>
      </c>
      <c r="J113" s="126">
        <v>41347</v>
      </c>
      <c r="K113" s="126" t="s">
        <v>89</v>
      </c>
      <c r="L113" s="126" t="s">
        <v>89</v>
      </c>
      <c r="M113" s="126" t="s">
        <v>89</v>
      </c>
      <c r="N113" s="126">
        <v>41374</v>
      </c>
      <c r="O113" s="126" t="s">
        <v>89</v>
      </c>
      <c r="P113" s="126">
        <v>41417</v>
      </c>
      <c r="Q113" s="129" t="s">
        <v>683</v>
      </c>
      <c r="R113" s="123"/>
    </row>
    <row r="114" spans="1:18" s="20" customFormat="1" ht="144" x14ac:dyDescent="0.2">
      <c r="A114" s="140" t="s">
        <v>730</v>
      </c>
      <c r="B114" s="122">
        <v>1080581925</v>
      </c>
      <c r="C114" s="123">
        <v>1080581832</v>
      </c>
      <c r="D114" s="123" t="s">
        <v>677</v>
      </c>
      <c r="E114" s="124" t="s">
        <v>731</v>
      </c>
      <c r="F114" s="125" t="s">
        <v>174</v>
      </c>
      <c r="G114" s="126">
        <v>41250</v>
      </c>
      <c r="H114" s="127">
        <v>41312</v>
      </c>
      <c r="I114" s="128">
        <f t="shared" ca="1" si="3"/>
        <v>-452</v>
      </c>
      <c r="J114" s="126" t="s">
        <v>89</v>
      </c>
      <c r="K114" s="126">
        <v>41277</v>
      </c>
      <c r="L114" s="126" t="s">
        <v>89</v>
      </c>
      <c r="M114" s="126" t="s">
        <v>89</v>
      </c>
      <c r="N114" s="126">
        <v>41374</v>
      </c>
      <c r="O114" s="126">
        <v>41395</v>
      </c>
      <c r="P114" s="126">
        <v>41417</v>
      </c>
      <c r="Q114" s="129" t="s">
        <v>732</v>
      </c>
      <c r="R114" s="123"/>
    </row>
    <row r="115" spans="1:18" s="20" customFormat="1" ht="54" x14ac:dyDescent="0.2">
      <c r="A115" s="140" t="s">
        <v>733</v>
      </c>
      <c r="B115" s="122">
        <v>1080582547</v>
      </c>
      <c r="C115" s="123">
        <v>1080580703</v>
      </c>
      <c r="D115" s="123" t="s">
        <v>134</v>
      </c>
      <c r="E115" s="124" t="s">
        <v>734</v>
      </c>
      <c r="F115" s="125" t="s">
        <v>184</v>
      </c>
      <c r="G115" s="126">
        <v>41367</v>
      </c>
      <c r="H115" s="127">
        <v>41390</v>
      </c>
      <c r="I115" s="128">
        <f t="shared" ca="1" si="3"/>
        <v>-396</v>
      </c>
      <c r="J115" s="126" t="s">
        <v>89</v>
      </c>
      <c r="K115" s="126" t="s">
        <v>89</v>
      </c>
      <c r="L115" s="126" t="s">
        <v>89</v>
      </c>
      <c r="M115" s="126" t="s">
        <v>89</v>
      </c>
      <c r="N115" s="126">
        <v>41425</v>
      </c>
      <c r="O115" s="126" t="s">
        <v>89</v>
      </c>
      <c r="P115" s="126">
        <v>41437</v>
      </c>
      <c r="Q115" s="129" t="s">
        <v>735</v>
      </c>
      <c r="R115" s="123"/>
    </row>
    <row r="116" spans="1:18" s="20" customFormat="1" ht="126" x14ac:dyDescent="0.2">
      <c r="A116" s="140" t="s">
        <v>736</v>
      </c>
      <c r="B116" s="122">
        <v>1080582572</v>
      </c>
      <c r="C116" s="123">
        <v>1080581051</v>
      </c>
      <c r="D116" s="123" t="s">
        <v>134</v>
      </c>
      <c r="E116" s="124" t="s">
        <v>737</v>
      </c>
      <c r="F116" s="125" t="s">
        <v>184</v>
      </c>
      <c r="G116" s="126">
        <v>41372</v>
      </c>
      <c r="H116" s="127">
        <v>41390</v>
      </c>
      <c r="I116" s="128">
        <f t="shared" ca="1" si="3"/>
        <v>-396</v>
      </c>
      <c r="J116" s="126" t="s">
        <v>89</v>
      </c>
      <c r="K116" s="126" t="s">
        <v>89</v>
      </c>
      <c r="L116" s="126">
        <v>41383</v>
      </c>
      <c r="M116" s="126" t="s">
        <v>89</v>
      </c>
      <c r="N116" s="126">
        <v>41425</v>
      </c>
      <c r="O116" s="126" t="s">
        <v>89</v>
      </c>
      <c r="P116" s="126">
        <v>41437</v>
      </c>
      <c r="Q116" s="129" t="s">
        <v>735</v>
      </c>
      <c r="R116" s="123"/>
    </row>
    <row r="117" spans="1:18" s="20" customFormat="1" ht="108" x14ac:dyDescent="0.2">
      <c r="A117" s="140" t="s">
        <v>738</v>
      </c>
      <c r="B117" s="122">
        <v>1080581933</v>
      </c>
      <c r="C117" s="123">
        <v>1080580427</v>
      </c>
      <c r="D117" s="123" t="s">
        <v>614</v>
      </c>
      <c r="E117" s="124" t="s">
        <v>739</v>
      </c>
      <c r="F117" s="125" t="s">
        <v>481</v>
      </c>
      <c r="G117" s="126">
        <v>41254</v>
      </c>
      <c r="H117" s="127">
        <v>41470</v>
      </c>
      <c r="I117" s="128">
        <f t="shared" ca="1" si="3"/>
        <v>-340</v>
      </c>
      <c r="J117" s="126">
        <v>41435</v>
      </c>
      <c r="K117" s="126" t="s">
        <v>89</v>
      </c>
      <c r="L117" s="126" t="s">
        <v>89</v>
      </c>
      <c r="M117" s="126" t="s">
        <v>89</v>
      </c>
      <c r="N117" s="126" t="s">
        <v>89</v>
      </c>
      <c r="O117" s="126" t="s">
        <v>89</v>
      </c>
      <c r="P117" s="126">
        <v>41438</v>
      </c>
      <c r="Q117" s="129" t="s">
        <v>740</v>
      </c>
      <c r="R117" s="123"/>
    </row>
    <row r="118" spans="1:18" s="20" customFormat="1" ht="108" x14ac:dyDescent="0.2">
      <c r="A118" s="140" t="s">
        <v>741</v>
      </c>
      <c r="B118" s="122">
        <v>1080580459</v>
      </c>
      <c r="C118" s="123" t="s">
        <v>121</v>
      </c>
      <c r="D118" s="123" t="s">
        <v>677</v>
      </c>
      <c r="E118" s="124" t="s">
        <v>742</v>
      </c>
      <c r="F118" s="125" t="s">
        <v>111</v>
      </c>
      <c r="G118" s="126">
        <v>41029</v>
      </c>
      <c r="H118" s="127">
        <v>41061</v>
      </c>
      <c r="I118" s="128">
        <f t="shared" ca="1" si="3"/>
        <v>-631</v>
      </c>
      <c r="J118" s="126">
        <v>41061</v>
      </c>
      <c r="K118" s="126">
        <v>41380</v>
      </c>
      <c r="L118" s="126">
        <v>41274</v>
      </c>
      <c r="M118" s="126" t="s">
        <v>89</v>
      </c>
      <c r="N118" s="126">
        <v>41425</v>
      </c>
      <c r="O118" s="126">
        <v>41107</v>
      </c>
      <c r="P118" s="126">
        <v>41452</v>
      </c>
      <c r="Q118" s="129" t="s">
        <v>743</v>
      </c>
      <c r="R118" s="123"/>
    </row>
    <row r="119" spans="1:18" s="20" customFormat="1" ht="45" x14ac:dyDescent="0.2">
      <c r="A119" s="140" t="s">
        <v>748</v>
      </c>
      <c r="B119" s="122">
        <v>1080581283</v>
      </c>
      <c r="C119" s="123">
        <v>1080581077</v>
      </c>
      <c r="D119" s="123" t="s">
        <v>749</v>
      </c>
      <c r="E119" s="124" t="s">
        <v>750</v>
      </c>
      <c r="F119" s="125" t="s">
        <v>244</v>
      </c>
      <c r="G119" s="126">
        <v>41156</v>
      </c>
      <c r="H119" s="127">
        <v>41400</v>
      </c>
      <c r="I119" s="128">
        <f t="shared" ca="1" si="3"/>
        <v>-390</v>
      </c>
      <c r="J119" s="126">
        <v>41162</v>
      </c>
      <c r="K119" s="126" t="s">
        <v>89</v>
      </c>
      <c r="L119" s="126" t="s">
        <v>89</v>
      </c>
      <c r="M119" s="126" t="s">
        <v>89</v>
      </c>
      <c r="N119" s="126">
        <v>41425</v>
      </c>
      <c r="O119" s="126" t="s">
        <v>89</v>
      </c>
      <c r="P119" s="126">
        <v>41452</v>
      </c>
      <c r="Q119" s="129" t="s">
        <v>129</v>
      </c>
      <c r="R119" s="123"/>
    </row>
    <row r="120" spans="1:18" s="20" customFormat="1" ht="108" x14ac:dyDescent="0.2">
      <c r="A120" s="140" t="s">
        <v>751</v>
      </c>
      <c r="B120" s="122">
        <v>1080581920</v>
      </c>
      <c r="C120" s="123">
        <v>1080580416</v>
      </c>
      <c r="D120" s="123" t="s">
        <v>614</v>
      </c>
      <c r="E120" s="124" t="s">
        <v>752</v>
      </c>
      <c r="F120" s="125" t="s">
        <v>481</v>
      </c>
      <c r="G120" s="126">
        <v>41250</v>
      </c>
      <c r="H120" s="127">
        <v>41470</v>
      </c>
      <c r="I120" s="128">
        <f t="shared" ca="1" si="3"/>
        <v>-340</v>
      </c>
      <c r="J120" s="126">
        <v>41442</v>
      </c>
      <c r="K120" s="126" t="s">
        <v>89</v>
      </c>
      <c r="L120" s="126" t="s">
        <v>89</v>
      </c>
      <c r="M120" s="126" t="s">
        <v>89</v>
      </c>
      <c r="N120" s="126" t="s">
        <v>89</v>
      </c>
      <c r="O120" s="126" t="s">
        <v>89</v>
      </c>
      <c r="P120" s="126">
        <v>41452</v>
      </c>
      <c r="Q120" s="129" t="s">
        <v>753</v>
      </c>
      <c r="R120" s="123"/>
    </row>
    <row r="121" spans="1:18" s="20" customFormat="1" ht="409.5" x14ac:dyDescent="0.2">
      <c r="A121" s="140" t="s">
        <v>754</v>
      </c>
      <c r="B121" s="122">
        <v>1080582598</v>
      </c>
      <c r="C121" s="123">
        <v>1080581275</v>
      </c>
      <c r="D121" s="123" t="s">
        <v>134</v>
      </c>
      <c r="E121" s="124" t="s">
        <v>755</v>
      </c>
      <c r="F121" s="125" t="s">
        <v>184</v>
      </c>
      <c r="G121" s="126">
        <v>41374</v>
      </c>
      <c r="H121" s="127">
        <v>41390</v>
      </c>
      <c r="I121" s="128">
        <f t="shared" ca="1" si="3"/>
        <v>-396</v>
      </c>
      <c r="J121" s="126" t="s">
        <v>89</v>
      </c>
      <c r="K121" s="126" t="s">
        <v>89</v>
      </c>
      <c r="L121" s="126">
        <v>41389</v>
      </c>
      <c r="M121" s="126" t="s">
        <v>89</v>
      </c>
      <c r="N121" s="126">
        <v>41444</v>
      </c>
      <c r="O121" s="126" t="s">
        <v>89</v>
      </c>
      <c r="P121" s="126">
        <v>41452</v>
      </c>
      <c r="Q121" s="129" t="s">
        <v>756</v>
      </c>
      <c r="R121" s="123"/>
    </row>
    <row r="122" spans="1:18" s="20" customFormat="1" ht="54" x14ac:dyDescent="0.2">
      <c r="A122" s="140" t="s">
        <v>744</v>
      </c>
      <c r="B122" s="122">
        <v>1080580658</v>
      </c>
      <c r="C122" s="123">
        <v>1080580184</v>
      </c>
      <c r="D122" s="123" t="s">
        <v>673</v>
      </c>
      <c r="E122" s="124" t="s">
        <v>745</v>
      </c>
      <c r="F122" s="125" t="s">
        <v>746</v>
      </c>
      <c r="G122" s="126">
        <v>41051</v>
      </c>
      <c r="H122" s="127">
        <v>41425</v>
      </c>
      <c r="I122" s="128">
        <f t="shared" ca="1" si="3"/>
        <v>-371</v>
      </c>
      <c r="J122" s="126" t="s">
        <v>89</v>
      </c>
      <c r="K122" s="126">
        <v>41367</v>
      </c>
      <c r="L122" s="126" t="s">
        <v>89</v>
      </c>
      <c r="M122" s="126" t="s">
        <v>89</v>
      </c>
      <c r="N122" s="126">
        <v>41122</v>
      </c>
      <c r="O122" s="126">
        <v>41306</v>
      </c>
      <c r="P122" s="126">
        <v>41453</v>
      </c>
      <c r="Q122" s="129" t="s">
        <v>747</v>
      </c>
      <c r="R122" s="123"/>
    </row>
    <row r="123" spans="1:18" s="20" customFormat="1" ht="90" x14ac:dyDescent="0.2">
      <c r="A123" s="140" t="s">
        <v>757</v>
      </c>
      <c r="B123" s="122">
        <v>1080580107</v>
      </c>
      <c r="C123" s="123" t="s">
        <v>111</v>
      </c>
      <c r="D123" s="123" t="s">
        <v>758</v>
      </c>
      <c r="E123" s="124" t="s">
        <v>759</v>
      </c>
      <c r="F123" s="125" t="s">
        <v>111</v>
      </c>
      <c r="G123" s="126">
        <v>40973</v>
      </c>
      <c r="H123" s="127">
        <v>41095</v>
      </c>
      <c r="I123" s="128">
        <f t="shared" ca="1" si="3"/>
        <v>-607</v>
      </c>
      <c r="J123" s="126" t="s">
        <v>88</v>
      </c>
      <c r="K123" s="126" t="s">
        <v>88</v>
      </c>
      <c r="L123" s="126" t="s">
        <v>88</v>
      </c>
      <c r="M123" s="126" t="s">
        <v>89</v>
      </c>
      <c r="N123" s="126" t="s">
        <v>88</v>
      </c>
      <c r="O123" s="126" t="s">
        <v>88</v>
      </c>
      <c r="P123" s="126">
        <v>41483</v>
      </c>
      <c r="Q123" s="129" t="s">
        <v>743</v>
      </c>
      <c r="R123" s="123"/>
    </row>
    <row r="124" spans="1:18" s="20" customFormat="1" ht="72" x14ac:dyDescent="0.2">
      <c r="A124" s="140" t="s">
        <v>760</v>
      </c>
      <c r="B124" s="122">
        <v>1080580524</v>
      </c>
      <c r="C124" s="123">
        <v>1080579303</v>
      </c>
      <c r="D124" s="123" t="s">
        <v>761</v>
      </c>
      <c r="E124" s="124" t="s">
        <v>762</v>
      </c>
      <c r="F124" s="125" t="s">
        <v>631</v>
      </c>
      <c r="G124" s="126">
        <v>41036</v>
      </c>
      <c r="H124" s="127">
        <v>41409</v>
      </c>
      <c r="I124" s="128">
        <f t="shared" ca="1" si="3"/>
        <v>-383</v>
      </c>
      <c r="J124" s="126">
        <v>41423</v>
      </c>
      <c r="K124" s="126">
        <v>41204</v>
      </c>
      <c r="L124" s="126">
        <v>41183</v>
      </c>
      <c r="M124" s="126" t="s">
        <v>89</v>
      </c>
      <c r="N124" s="126">
        <v>41365</v>
      </c>
      <c r="O124" s="126" t="s">
        <v>89</v>
      </c>
      <c r="P124" s="126">
        <v>41483</v>
      </c>
      <c r="Q124" s="129" t="s">
        <v>763</v>
      </c>
      <c r="R124" s="123"/>
    </row>
    <row r="125" spans="1:18" s="20" customFormat="1" ht="144" x14ac:dyDescent="0.2">
      <c r="A125" s="140" t="s">
        <v>764</v>
      </c>
      <c r="B125" s="122">
        <v>1080581041</v>
      </c>
      <c r="C125" s="123">
        <v>1080580424</v>
      </c>
      <c r="D125" s="123" t="s">
        <v>765</v>
      </c>
      <c r="E125" s="124" t="s">
        <v>766</v>
      </c>
      <c r="F125" s="125" t="s">
        <v>103</v>
      </c>
      <c r="G125" s="126">
        <v>41123</v>
      </c>
      <c r="H125" s="127">
        <v>41470</v>
      </c>
      <c r="I125" s="128">
        <f t="shared" ca="1" si="3"/>
        <v>-340</v>
      </c>
      <c r="J125" s="126" t="s">
        <v>89</v>
      </c>
      <c r="K125" s="126" t="s">
        <v>89</v>
      </c>
      <c r="L125" s="126" t="s">
        <v>89</v>
      </c>
      <c r="M125" s="126" t="s">
        <v>89</v>
      </c>
      <c r="N125" s="126" t="s">
        <v>89</v>
      </c>
      <c r="O125" s="126" t="s">
        <v>89</v>
      </c>
      <c r="P125" s="126">
        <v>41483</v>
      </c>
      <c r="Q125" s="129" t="s">
        <v>616</v>
      </c>
      <c r="R125" s="123"/>
    </row>
    <row r="126" spans="1:18" s="20" customFormat="1" ht="72" x14ac:dyDescent="0.2">
      <c r="A126" s="140" t="s">
        <v>767</v>
      </c>
      <c r="B126" s="122">
        <v>1080582546</v>
      </c>
      <c r="C126" s="123">
        <v>1080580703</v>
      </c>
      <c r="D126" s="123" t="s">
        <v>134</v>
      </c>
      <c r="E126" s="124" t="s">
        <v>768</v>
      </c>
      <c r="F126" s="125" t="s">
        <v>215</v>
      </c>
      <c r="G126" s="126">
        <v>41367</v>
      </c>
      <c r="H126" s="127">
        <v>41390</v>
      </c>
      <c r="I126" s="128">
        <f t="shared" ca="1" si="3"/>
        <v>-396</v>
      </c>
      <c r="J126" s="126" t="s">
        <v>89</v>
      </c>
      <c r="K126" s="126">
        <v>41373</v>
      </c>
      <c r="L126" s="126" t="s">
        <v>89</v>
      </c>
      <c r="M126" s="126" t="s">
        <v>89</v>
      </c>
      <c r="N126" s="126">
        <v>41345</v>
      </c>
      <c r="O126" s="126" t="s">
        <v>89</v>
      </c>
      <c r="P126" s="126">
        <v>41483</v>
      </c>
      <c r="Q126" s="129" t="s">
        <v>129</v>
      </c>
      <c r="R126" s="123"/>
    </row>
    <row r="127" spans="1:18" s="20" customFormat="1" ht="162" x14ac:dyDescent="0.2">
      <c r="A127" s="140" t="s">
        <v>769</v>
      </c>
      <c r="B127" s="122">
        <v>1080582597</v>
      </c>
      <c r="C127" s="123">
        <v>1080581232</v>
      </c>
      <c r="D127" s="123" t="s">
        <v>134</v>
      </c>
      <c r="E127" s="124" t="s">
        <v>770</v>
      </c>
      <c r="F127" s="125" t="s">
        <v>215</v>
      </c>
      <c r="G127" s="126">
        <v>41374</v>
      </c>
      <c r="H127" s="127">
        <v>41390</v>
      </c>
      <c r="I127" s="128">
        <f t="shared" ca="1" si="3"/>
        <v>-396</v>
      </c>
      <c r="J127" s="126" t="s">
        <v>89</v>
      </c>
      <c r="K127" s="126">
        <v>41164</v>
      </c>
      <c r="L127" s="126" t="s">
        <v>89</v>
      </c>
      <c r="M127" s="126" t="s">
        <v>89</v>
      </c>
      <c r="N127" s="126">
        <v>41444</v>
      </c>
      <c r="O127" s="126" t="s">
        <v>89</v>
      </c>
      <c r="P127" s="126">
        <v>41483</v>
      </c>
      <c r="Q127" s="129" t="s">
        <v>771</v>
      </c>
      <c r="R127" s="123"/>
    </row>
    <row r="128" spans="1:18" s="20" customFormat="1" ht="36" x14ac:dyDescent="0.2">
      <c r="A128" s="140" t="s">
        <v>772</v>
      </c>
      <c r="B128" s="122">
        <v>1080582752</v>
      </c>
      <c r="C128" s="123">
        <v>1080581688</v>
      </c>
      <c r="D128" s="123" t="s">
        <v>134</v>
      </c>
      <c r="E128" s="124" t="s">
        <v>773</v>
      </c>
      <c r="F128" s="125" t="s">
        <v>135</v>
      </c>
      <c r="G128" s="126">
        <v>41397</v>
      </c>
      <c r="H128" s="127">
        <v>41453</v>
      </c>
      <c r="I128" s="128">
        <f t="shared" ca="1" si="3"/>
        <v>-351</v>
      </c>
      <c r="J128" s="126" t="s">
        <v>89</v>
      </c>
      <c r="K128" s="126" t="s">
        <v>89</v>
      </c>
      <c r="L128" s="126" t="s">
        <v>89</v>
      </c>
      <c r="M128" s="126" t="s">
        <v>89</v>
      </c>
      <c r="N128" s="126">
        <v>41444</v>
      </c>
      <c r="O128" s="126" t="s">
        <v>89</v>
      </c>
      <c r="P128" s="126">
        <v>41483</v>
      </c>
      <c r="Q128" s="129" t="s">
        <v>774</v>
      </c>
      <c r="R128" s="123"/>
    </row>
    <row r="129" spans="1:18" s="20" customFormat="1" ht="54" x14ac:dyDescent="0.2">
      <c r="A129" s="140" t="s">
        <v>775</v>
      </c>
      <c r="B129" s="122">
        <v>1080582888</v>
      </c>
      <c r="C129" s="123">
        <v>1080582013</v>
      </c>
      <c r="D129" s="123" t="s">
        <v>134</v>
      </c>
      <c r="E129" s="124" t="s">
        <v>776</v>
      </c>
      <c r="F129" s="125" t="s">
        <v>184</v>
      </c>
      <c r="G129" s="126">
        <v>41419</v>
      </c>
      <c r="H129" s="127">
        <v>41502</v>
      </c>
      <c r="I129" s="128">
        <f t="shared" ca="1" si="3"/>
        <v>-316</v>
      </c>
      <c r="J129" s="126" t="s">
        <v>89</v>
      </c>
      <c r="K129" s="126" t="s">
        <v>89</v>
      </c>
      <c r="L129" s="126" t="s">
        <v>89</v>
      </c>
      <c r="M129" s="126" t="s">
        <v>89</v>
      </c>
      <c r="N129" s="126">
        <v>41444</v>
      </c>
      <c r="O129" s="126" t="s">
        <v>89</v>
      </c>
      <c r="P129" s="126">
        <v>41483</v>
      </c>
      <c r="Q129" s="129" t="s">
        <v>777</v>
      </c>
      <c r="R129" s="123"/>
    </row>
    <row r="130" spans="1:18" s="20" customFormat="1" ht="108" x14ac:dyDescent="0.2">
      <c r="A130" s="140" t="s">
        <v>778</v>
      </c>
      <c r="B130" s="122">
        <v>1080582970</v>
      </c>
      <c r="C130" s="123">
        <v>1080579455</v>
      </c>
      <c r="D130" s="123" t="s">
        <v>102</v>
      </c>
      <c r="E130" s="124" t="s">
        <v>779</v>
      </c>
      <c r="F130" s="125" t="s">
        <v>103</v>
      </c>
      <c r="G130" s="126">
        <v>41436</v>
      </c>
      <c r="H130" s="127">
        <v>41509</v>
      </c>
      <c r="I130" s="128">
        <f t="shared" ref="I130:I139" ca="1" si="4">IF(H130&lt;&gt;0,NETWORKDAYS(TODAY(),H130),"")</f>
        <v>-311</v>
      </c>
      <c r="J130" s="126">
        <v>41442</v>
      </c>
      <c r="K130" s="126" t="s">
        <v>89</v>
      </c>
      <c r="L130" s="126" t="s">
        <v>89</v>
      </c>
      <c r="M130" s="126" t="s">
        <v>89</v>
      </c>
      <c r="N130" s="126" t="s">
        <v>89</v>
      </c>
      <c r="O130" s="126" t="s">
        <v>89</v>
      </c>
      <c r="P130" s="126">
        <v>41483</v>
      </c>
      <c r="Q130" s="129" t="s">
        <v>780</v>
      </c>
      <c r="R130" s="123"/>
    </row>
    <row r="131" spans="1:18" s="20" customFormat="1" ht="90" x14ac:dyDescent="0.2">
      <c r="A131" s="140" t="s">
        <v>781</v>
      </c>
      <c r="B131" s="122">
        <v>1080583195</v>
      </c>
      <c r="C131" s="123">
        <v>1080582005</v>
      </c>
      <c r="D131" s="123" t="s">
        <v>677</v>
      </c>
      <c r="E131" s="124" t="s">
        <v>782</v>
      </c>
      <c r="F131" s="125" t="s">
        <v>244</v>
      </c>
      <c r="G131" s="126">
        <v>41473</v>
      </c>
      <c r="H131" s="127">
        <v>41516</v>
      </c>
      <c r="I131" s="128">
        <f t="shared" ca="1" si="4"/>
        <v>-306</v>
      </c>
      <c r="J131" s="126" t="s">
        <v>89</v>
      </c>
      <c r="K131" s="126" t="s">
        <v>89</v>
      </c>
      <c r="L131" s="126" t="s">
        <v>89</v>
      </c>
      <c r="M131" s="126" t="s">
        <v>89</v>
      </c>
      <c r="N131" s="126" t="s">
        <v>89</v>
      </c>
      <c r="O131" s="126" t="s">
        <v>89</v>
      </c>
      <c r="P131" s="126">
        <v>41483</v>
      </c>
      <c r="Q131" s="129" t="s">
        <v>783</v>
      </c>
      <c r="R131" s="123"/>
    </row>
    <row r="132" spans="1:18" s="20" customFormat="1" ht="108" x14ac:dyDescent="0.2">
      <c r="A132" s="140" t="s">
        <v>784</v>
      </c>
      <c r="B132" s="122">
        <v>1080581044</v>
      </c>
      <c r="C132" s="123">
        <v>1080580606</v>
      </c>
      <c r="D132" s="123" t="s">
        <v>785</v>
      </c>
      <c r="E132" s="124" t="s">
        <v>786</v>
      </c>
      <c r="F132" s="125" t="s">
        <v>103</v>
      </c>
      <c r="G132" s="126">
        <v>41123</v>
      </c>
      <c r="H132" s="127">
        <v>41428</v>
      </c>
      <c r="I132" s="128">
        <f t="shared" ca="1" si="4"/>
        <v>-370</v>
      </c>
      <c r="J132" s="126">
        <v>41171</v>
      </c>
      <c r="K132" s="126" t="s">
        <v>89</v>
      </c>
      <c r="L132" s="126" t="s">
        <v>89</v>
      </c>
      <c r="M132" s="126" t="s">
        <v>89</v>
      </c>
      <c r="N132" s="126" t="s">
        <v>89</v>
      </c>
      <c r="O132" s="126" t="s">
        <v>89</v>
      </c>
      <c r="P132" s="126">
        <v>41483</v>
      </c>
      <c r="Q132" s="129" t="s">
        <v>129</v>
      </c>
      <c r="R132" s="123"/>
    </row>
    <row r="133" spans="1:18" s="20" customFormat="1" ht="108" x14ac:dyDescent="0.2">
      <c r="A133" s="140" t="s">
        <v>787</v>
      </c>
      <c r="B133" s="122">
        <v>1080582766</v>
      </c>
      <c r="C133" s="123">
        <v>1080581808</v>
      </c>
      <c r="D133" s="123" t="s">
        <v>134</v>
      </c>
      <c r="E133" s="124" t="s">
        <v>788</v>
      </c>
      <c r="F133" s="125" t="s">
        <v>255</v>
      </c>
      <c r="G133" s="126">
        <v>41400</v>
      </c>
      <c r="H133" s="127">
        <v>41467</v>
      </c>
      <c r="I133" s="128">
        <f t="shared" ca="1" si="4"/>
        <v>-341</v>
      </c>
      <c r="J133" s="126">
        <v>41261</v>
      </c>
      <c r="K133" s="126" t="s">
        <v>89</v>
      </c>
      <c r="L133" s="126" t="s">
        <v>89</v>
      </c>
      <c r="M133" s="126" t="s">
        <v>89</v>
      </c>
      <c r="N133" s="126">
        <v>41444</v>
      </c>
      <c r="O133" s="126" t="s">
        <v>89</v>
      </c>
      <c r="P133" s="126">
        <v>41494</v>
      </c>
      <c r="Q133" s="129" t="s">
        <v>789</v>
      </c>
      <c r="R133" s="123"/>
    </row>
    <row r="134" spans="1:18" s="20" customFormat="1" ht="360" x14ac:dyDescent="0.2">
      <c r="A134" s="140" t="s">
        <v>790</v>
      </c>
      <c r="B134" s="122">
        <v>1080582721</v>
      </c>
      <c r="C134" s="123">
        <v>1080581571</v>
      </c>
      <c r="D134" s="123" t="s">
        <v>791</v>
      </c>
      <c r="E134" s="124" t="s">
        <v>792</v>
      </c>
      <c r="F134" s="125" t="s">
        <v>184</v>
      </c>
      <c r="G134" s="126">
        <v>41392</v>
      </c>
      <c r="H134" s="127">
        <v>41446</v>
      </c>
      <c r="I134" s="128">
        <f t="shared" ca="1" si="4"/>
        <v>-356</v>
      </c>
      <c r="J134" s="126" t="s">
        <v>89</v>
      </c>
      <c r="K134" s="126" t="s">
        <v>89</v>
      </c>
      <c r="L134" s="126" t="s">
        <v>89</v>
      </c>
      <c r="M134" s="126" t="s">
        <v>89</v>
      </c>
      <c r="N134" s="126">
        <v>41494</v>
      </c>
      <c r="O134" s="126" t="s">
        <v>89</v>
      </c>
      <c r="P134" s="126">
        <v>41502</v>
      </c>
      <c r="Q134" s="129" t="s">
        <v>793</v>
      </c>
      <c r="R134" s="123"/>
    </row>
    <row r="135" spans="1:18" s="20" customFormat="1" ht="108" x14ac:dyDescent="0.2">
      <c r="A135" s="140" t="s">
        <v>794</v>
      </c>
      <c r="B135" s="122">
        <v>1080582837</v>
      </c>
      <c r="C135" s="123">
        <v>1080581647</v>
      </c>
      <c r="D135" s="123" t="s">
        <v>134</v>
      </c>
      <c r="E135" s="124" t="s">
        <v>795</v>
      </c>
      <c r="F135" s="125" t="s">
        <v>135</v>
      </c>
      <c r="G135" s="126">
        <v>41410</v>
      </c>
      <c r="H135" s="127">
        <v>41488</v>
      </c>
      <c r="I135" s="128">
        <f t="shared" ca="1" si="4"/>
        <v>-326</v>
      </c>
      <c r="J135" s="126">
        <v>41240</v>
      </c>
      <c r="K135" s="126" t="s">
        <v>89</v>
      </c>
      <c r="L135" s="126" t="s">
        <v>89</v>
      </c>
      <c r="M135" s="126" t="s">
        <v>89</v>
      </c>
      <c r="N135" s="126">
        <v>41444</v>
      </c>
      <c r="O135" s="126" t="s">
        <v>89</v>
      </c>
      <c r="P135" s="126">
        <v>41502</v>
      </c>
      <c r="Q135" s="129" t="s">
        <v>796</v>
      </c>
      <c r="R135" s="123"/>
    </row>
    <row r="136" spans="1:18" s="20" customFormat="1" ht="108" x14ac:dyDescent="0.2">
      <c r="A136" s="140" t="s">
        <v>797</v>
      </c>
      <c r="B136" s="122">
        <v>1080582935</v>
      </c>
      <c r="C136" s="123">
        <v>1080582731</v>
      </c>
      <c r="D136" s="123" t="s">
        <v>798</v>
      </c>
      <c r="E136" s="124" t="s">
        <v>799</v>
      </c>
      <c r="F136" s="125" t="s">
        <v>800</v>
      </c>
      <c r="G136" s="126">
        <v>41430</v>
      </c>
      <c r="H136" s="127">
        <v>41516</v>
      </c>
      <c r="I136" s="128">
        <f t="shared" ca="1" si="4"/>
        <v>-306</v>
      </c>
      <c r="J136" s="126" t="s">
        <v>89</v>
      </c>
      <c r="K136" s="126" t="s">
        <v>89</v>
      </c>
      <c r="L136" s="126" t="s">
        <v>89</v>
      </c>
      <c r="M136" s="126" t="s">
        <v>89</v>
      </c>
      <c r="N136" s="126">
        <v>41499</v>
      </c>
      <c r="O136" s="126" t="s">
        <v>89</v>
      </c>
      <c r="P136" s="126">
        <v>41502</v>
      </c>
      <c r="Q136" s="129" t="s">
        <v>245</v>
      </c>
      <c r="R136" s="123"/>
    </row>
    <row r="137" spans="1:18" s="20" customFormat="1" ht="90" x14ac:dyDescent="0.2">
      <c r="A137" s="140" t="s">
        <v>801</v>
      </c>
      <c r="B137" s="122">
        <v>1080582951</v>
      </c>
      <c r="C137" s="123">
        <v>1080582029</v>
      </c>
      <c r="D137" s="123" t="s">
        <v>139</v>
      </c>
      <c r="E137" s="124" t="s">
        <v>802</v>
      </c>
      <c r="F137" s="125" t="s">
        <v>140</v>
      </c>
      <c r="G137" s="126">
        <v>41432</v>
      </c>
      <c r="H137" s="127">
        <v>41481</v>
      </c>
      <c r="I137" s="128">
        <f t="shared" ca="1" si="4"/>
        <v>-331</v>
      </c>
      <c r="J137" s="126" t="s">
        <v>89</v>
      </c>
      <c r="K137" s="126" t="s">
        <v>89</v>
      </c>
      <c r="L137" s="126">
        <v>41473</v>
      </c>
      <c r="M137" s="126" t="s">
        <v>89</v>
      </c>
      <c r="N137" s="126">
        <v>41494</v>
      </c>
      <c r="O137" s="126" t="s">
        <v>89</v>
      </c>
      <c r="P137" s="126">
        <v>41502</v>
      </c>
      <c r="Q137" s="129" t="s">
        <v>803</v>
      </c>
      <c r="R137" s="123"/>
    </row>
    <row r="138" spans="1:18" s="20" customFormat="1" ht="54" x14ac:dyDescent="0.2">
      <c r="A138" s="140" t="s">
        <v>804</v>
      </c>
      <c r="B138" s="122">
        <v>1080583028</v>
      </c>
      <c r="C138" s="123">
        <v>1080582377</v>
      </c>
      <c r="D138" s="123" t="s">
        <v>139</v>
      </c>
      <c r="E138" s="124" t="s">
        <v>805</v>
      </c>
      <c r="F138" s="125" t="s">
        <v>140</v>
      </c>
      <c r="G138" s="126">
        <v>41444</v>
      </c>
      <c r="H138" s="127">
        <v>41474</v>
      </c>
      <c r="I138" s="128">
        <f t="shared" ca="1" si="4"/>
        <v>-336</v>
      </c>
      <c r="J138" s="126" t="s">
        <v>89</v>
      </c>
      <c r="K138" s="126" t="s">
        <v>89</v>
      </c>
      <c r="L138" s="126" t="s">
        <v>89</v>
      </c>
      <c r="M138" s="126" t="s">
        <v>89</v>
      </c>
      <c r="N138" s="126">
        <v>41494</v>
      </c>
      <c r="O138" s="126" t="s">
        <v>89</v>
      </c>
      <c r="P138" s="126">
        <v>41502</v>
      </c>
      <c r="Q138" s="129" t="s">
        <v>803</v>
      </c>
      <c r="R138" s="123"/>
    </row>
    <row r="139" spans="1:18" s="20" customFormat="1" ht="90" x14ac:dyDescent="0.2">
      <c r="A139" s="140" t="s">
        <v>806</v>
      </c>
      <c r="B139" s="122">
        <v>1080583036</v>
      </c>
      <c r="C139" s="123">
        <v>1080582433</v>
      </c>
      <c r="D139" s="123" t="s">
        <v>131</v>
      </c>
      <c r="E139" s="124" t="s">
        <v>807</v>
      </c>
      <c r="F139" s="125" t="s">
        <v>631</v>
      </c>
      <c r="G139" s="126">
        <v>41445</v>
      </c>
      <c r="H139" s="127">
        <v>41488</v>
      </c>
      <c r="I139" s="128">
        <f t="shared" ca="1" si="4"/>
        <v>-326</v>
      </c>
      <c r="J139" s="126" t="s">
        <v>89</v>
      </c>
      <c r="K139" s="126" t="s">
        <v>89</v>
      </c>
      <c r="L139" s="126" t="s">
        <v>89</v>
      </c>
      <c r="M139" s="126" t="s">
        <v>89</v>
      </c>
      <c r="N139" s="126">
        <v>41494</v>
      </c>
      <c r="O139" s="126" t="s">
        <v>89</v>
      </c>
      <c r="P139" s="126">
        <v>41502</v>
      </c>
      <c r="Q139" s="129" t="s">
        <v>803</v>
      </c>
      <c r="R139" s="123"/>
    </row>
    <row r="140" spans="1:18" s="20" customFormat="1" ht="216" x14ac:dyDescent="0.2">
      <c r="A140" s="140" t="s">
        <v>300</v>
      </c>
      <c r="B140" s="122">
        <v>1080583199</v>
      </c>
      <c r="C140" s="123">
        <v>1080582065</v>
      </c>
      <c r="D140" s="123" t="s">
        <v>139</v>
      </c>
      <c r="E140" s="124" t="s">
        <v>301</v>
      </c>
      <c r="F140" s="125" t="s">
        <v>140</v>
      </c>
      <c r="G140" s="126">
        <v>41474</v>
      </c>
      <c r="H140" s="127">
        <v>41516</v>
      </c>
      <c r="I140" s="128">
        <v>3</v>
      </c>
      <c r="J140" s="126" t="s">
        <v>89</v>
      </c>
      <c r="K140" s="126" t="s">
        <v>89</v>
      </c>
      <c r="L140" s="126" t="s">
        <v>89</v>
      </c>
      <c r="M140" s="126" t="s">
        <v>89</v>
      </c>
      <c r="N140" s="126">
        <v>41499</v>
      </c>
      <c r="O140" s="126" t="s">
        <v>89</v>
      </c>
      <c r="P140" s="126">
        <v>41512</v>
      </c>
      <c r="Q140" s="129" t="s">
        <v>302</v>
      </c>
      <c r="R140" s="123"/>
    </row>
    <row r="141" spans="1:18" s="20" customFormat="1" ht="108" x14ac:dyDescent="0.2">
      <c r="A141" s="140" t="s">
        <v>235</v>
      </c>
      <c r="B141" s="122">
        <v>1080582887</v>
      </c>
      <c r="C141" s="123">
        <v>1080581570</v>
      </c>
      <c r="D141" s="123" t="s">
        <v>102</v>
      </c>
      <c r="E141" s="124" t="s">
        <v>236</v>
      </c>
      <c r="F141" s="125" t="s">
        <v>103</v>
      </c>
      <c r="G141" s="126">
        <v>41419</v>
      </c>
      <c r="H141" s="127">
        <v>41502</v>
      </c>
      <c r="I141" s="128">
        <v>-10</v>
      </c>
      <c r="J141" s="126">
        <v>41498</v>
      </c>
      <c r="K141" s="126" t="s">
        <v>89</v>
      </c>
      <c r="L141" s="126" t="s">
        <v>89</v>
      </c>
      <c r="M141" s="126" t="s">
        <v>89</v>
      </c>
      <c r="N141" s="126" t="s">
        <v>89</v>
      </c>
      <c r="O141" s="126" t="s">
        <v>89</v>
      </c>
      <c r="P141" s="126">
        <v>41515</v>
      </c>
      <c r="Q141" s="129" t="s">
        <v>237</v>
      </c>
      <c r="R141" s="123"/>
    </row>
    <row r="142" spans="1:18" s="20" customFormat="1" ht="54" x14ac:dyDescent="0.2">
      <c r="A142" s="140" t="s">
        <v>126</v>
      </c>
      <c r="B142" s="122">
        <v>1080580908</v>
      </c>
      <c r="C142" s="123">
        <v>1080580626</v>
      </c>
      <c r="D142" s="123" t="s">
        <v>96</v>
      </c>
      <c r="E142" s="124" t="s">
        <v>127</v>
      </c>
      <c r="F142" s="125" t="s">
        <v>111</v>
      </c>
      <c r="G142" s="126">
        <v>41099</v>
      </c>
      <c r="H142" s="127">
        <v>41173</v>
      </c>
      <c r="I142" s="128">
        <v>-248</v>
      </c>
      <c r="J142" s="126" t="s">
        <v>89</v>
      </c>
      <c r="K142" s="126">
        <v>41167</v>
      </c>
      <c r="L142" s="126" t="s">
        <v>89</v>
      </c>
      <c r="M142" s="126" t="s">
        <v>89</v>
      </c>
      <c r="N142" s="126">
        <v>41425</v>
      </c>
      <c r="O142" s="126">
        <v>41394</v>
      </c>
      <c r="P142" s="126">
        <v>41516</v>
      </c>
      <c r="Q142" s="129" t="s">
        <v>129</v>
      </c>
      <c r="R142" s="123"/>
    </row>
    <row r="143" spans="1:18" s="20" customFormat="1" ht="90" x14ac:dyDescent="0.2">
      <c r="A143" s="140" t="s">
        <v>241</v>
      </c>
      <c r="B143" s="122">
        <v>1080582895</v>
      </c>
      <c r="C143" s="123">
        <v>1080582050</v>
      </c>
      <c r="D143" s="123" t="s">
        <v>242</v>
      </c>
      <c r="E143" s="124" t="s">
        <v>243</v>
      </c>
      <c r="F143" s="125" t="s">
        <v>244</v>
      </c>
      <c r="G143" s="126">
        <v>41422</v>
      </c>
      <c r="H143" s="127">
        <v>41502</v>
      </c>
      <c r="I143" s="128">
        <v>-13</v>
      </c>
      <c r="J143" s="126" t="s">
        <v>89</v>
      </c>
      <c r="K143" s="126" t="s">
        <v>89</v>
      </c>
      <c r="L143" s="126" t="s">
        <v>89</v>
      </c>
      <c r="M143" s="126" t="s">
        <v>89</v>
      </c>
      <c r="N143" s="126">
        <v>41499</v>
      </c>
      <c r="O143" s="126" t="s">
        <v>89</v>
      </c>
      <c r="P143" s="126">
        <v>41516</v>
      </c>
      <c r="Q143" s="129" t="s">
        <v>245</v>
      </c>
      <c r="R143" s="123"/>
    </row>
    <row r="144" spans="1:18" s="20" customFormat="1" ht="108" x14ac:dyDescent="0.2">
      <c r="A144" s="140" t="s">
        <v>260</v>
      </c>
      <c r="B144" s="122">
        <v>1080582994</v>
      </c>
      <c r="C144" s="123">
        <v>1080582156</v>
      </c>
      <c r="D144" s="123" t="s">
        <v>261</v>
      </c>
      <c r="E144" s="124" t="s">
        <v>913</v>
      </c>
      <c r="F144" s="125" t="s">
        <v>217</v>
      </c>
      <c r="G144" s="126">
        <v>41438</v>
      </c>
      <c r="H144" s="127">
        <v>41524</v>
      </c>
      <c r="I144" s="128">
        <v>4</v>
      </c>
      <c r="J144" s="126" t="s">
        <v>89</v>
      </c>
      <c r="K144" s="126" t="s">
        <v>89</v>
      </c>
      <c r="L144" s="126" t="s">
        <v>89</v>
      </c>
      <c r="M144" s="126" t="s">
        <v>89</v>
      </c>
      <c r="N144" s="126">
        <v>41494</v>
      </c>
      <c r="O144" s="126" t="s">
        <v>89</v>
      </c>
      <c r="P144" s="126">
        <v>41516</v>
      </c>
      <c r="Q144" s="129" t="s">
        <v>914</v>
      </c>
      <c r="R144" s="123"/>
    </row>
    <row r="145" spans="1:18" s="20" customFormat="1" ht="108" x14ac:dyDescent="0.2">
      <c r="A145" s="140" t="s">
        <v>272</v>
      </c>
      <c r="B145" s="122">
        <v>1080583090</v>
      </c>
      <c r="C145" s="123">
        <v>1080582266</v>
      </c>
      <c r="D145" s="123" t="s">
        <v>169</v>
      </c>
      <c r="E145" s="124" t="s">
        <v>917</v>
      </c>
      <c r="F145" s="125" t="s">
        <v>244</v>
      </c>
      <c r="G145" s="126">
        <v>41455</v>
      </c>
      <c r="H145" s="127">
        <v>41523</v>
      </c>
      <c r="I145" s="128">
        <v>4</v>
      </c>
      <c r="J145" s="126" t="s">
        <v>89</v>
      </c>
      <c r="K145" s="126" t="s">
        <v>89</v>
      </c>
      <c r="L145" s="126" t="s">
        <v>89</v>
      </c>
      <c r="M145" s="126" t="s">
        <v>89</v>
      </c>
      <c r="N145" s="126">
        <v>41494</v>
      </c>
      <c r="O145" s="126" t="s">
        <v>89</v>
      </c>
      <c r="P145" s="126">
        <v>41516</v>
      </c>
      <c r="Q145" s="129" t="s">
        <v>918</v>
      </c>
      <c r="R145" s="123"/>
    </row>
    <row r="146" spans="1:18" s="20" customFormat="1" ht="198" x14ac:dyDescent="0.2">
      <c r="A146" s="140" t="s">
        <v>278</v>
      </c>
      <c r="B146" s="122">
        <v>1080583101</v>
      </c>
      <c r="C146" s="123">
        <v>1080582240</v>
      </c>
      <c r="D146" s="123" t="s">
        <v>139</v>
      </c>
      <c r="E146" s="124" t="s">
        <v>279</v>
      </c>
      <c r="F146" s="125" t="s">
        <v>140</v>
      </c>
      <c r="G146" s="126">
        <v>41461</v>
      </c>
      <c r="H146" s="127">
        <v>41502</v>
      </c>
      <c r="I146" s="128">
        <v>-13</v>
      </c>
      <c r="J146" s="126">
        <v>41382</v>
      </c>
      <c r="K146" s="126" t="s">
        <v>89</v>
      </c>
      <c r="L146" s="126" t="s">
        <v>89</v>
      </c>
      <c r="M146" s="126" t="s">
        <v>89</v>
      </c>
      <c r="N146" s="126">
        <v>41499</v>
      </c>
      <c r="O146" s="126" t="s">
        <v>89</v>
      </c>
      <c r="P146" s="126">
        <v>41516</v>
      </c>
      <c r="Q146" s="129" t="s">
        <v>245</v>
      </c>
      <c r="R146" s="123"/>
    </row>
    <row r="147" spans="1:18" s="20" customFormat="1" ht="144" x14ac:dyDescent="0.2">
      <c r="A147" s="140" t="s">
        <v>177</v>
      </c>
      <c r="B147" s="122">
        <v>1080581965</v>
      </c>
      <c r="C147" s="123">
        <v>1080579914</v>
      </c>
      <c r="D147" s="123" t="s">
        <v>102</v>
      </c>
      <c r="E147" s="157" t="s">
        <v>925</v>
      </c>
      <c r="F147" s="125" t="s">
        <v>111</v>
      </c>
      <c r="G147" s="126">
        <v>41256</v>
      </c>
      <c r="H147" s="127">
        <v>41470</v>
      </c>
      <c r="I147" s="128">
        <v>-38</v>
      </c>
      <c r="J147" s="126" t="s">
        <v>89</v>
      </c>
      <c r="K147" s="126">
        <v>41348</v>
      </c>
      <c r="L147" s="126" t="s">
        <v>89</v>
      </c>
      <c r="M147" s="126" t="s">
        <v>89</v>
      </c>
      <c r="N147" s="126">
        <v>41347</v>
      </c>
      <c r="O147" s="126" t="s">
        <v>89</v>
      </c>
      <c r="P147" s="126">
        <v>41521</v>
      </c>
      <c r="Q147" s="129" t="s">
        <v>923</v>
      </c>
      <c r="R147" s="123" t="s">
        <v>178</v>
      </c>
    </row>
    <row r="148" spans="1:18" s="20" customFormat="1" ht="72" x14ac:dyDescent="0.2">
      <c r="A148" s="140" t="s">
        <v>238</v>
      </c>
      <c r="B148" s="122">
        <v>1080582889</v>
      </c>
      <c r="C148" s="123">
        <v>1080582014</v>
      </c>
      <c r="D148" s="123" t="s">
        <v>199</v>
      </c>
      <c r="E148" s="157" t="s">
        <v>239</v>
      </c>
      <c r="F148" s="125" t="s">
        <v>135</v>
      </c>
      <c r="G148" s="126">
        <v>41420</v>
      </c>
      <c r="H148" s="127">
        <v>41523</v>
      </c>
      <c r="I148" s="128">
        <v>3</v>
      </c>
      <c r="J148" s="126" t="s">
        <v>89</v>
      </c>
      <c r="K148" s="126" t="s">
        <v>89</v>
      </c>
      <c r="L148" s="126" t="s">
        <v>89</v>
      </c>
      <c r="M148" s="126" t="s">
        <v>89</v>
      </c>
      <c r="N148" s="126">
        <v>41499</v>
      </c>
      <c r="O148" s="126" t="s">
        <v>89</v>
      </c>
      <c r="P148" s="126">
        <v>41521</v>
      </c>
      <c r="Q148" s="129" t="s">
        <v>240</v>
      </c>
      <c r="R148" s="123"/>
    </row>
    <row r="149" spans="1:18" s="20" customFormat="1" ht="108" x14ac:dyDescent="0.2">
      <c r="A149" s="140" t="s">
        <v>123</v>
      </c>
      <c r="B149" s="122">
        <v>1080580799</v>
      </c>
      <c r="C149" s="123" t="s">
        <v>124</v>
      </c>
      <c r="D149" s="123" t="s">
        <v>96</v>
      </c>
      <c r="E149" s="157" t="s">
        <v>938</v>
      </c>
      <c r="F149" s="125" t="s">
        <v>125</v>
      </c>
      <c r="G149" s="126">
        <v>41078</v>
      </c>
      <c r="H149" s="127">
        <v>41152</v>
      </c>
      <c r="I149" s="128">
        <v>-270</v>
      </c>
      <c r="J149" s="126">
        <v>40842</v>
      </c>
      <c r="K149" s="126">
        <v>41360</v>
      </c>
      <c r="L149" s="126" t="s">
        <v>89</v>
      </c>
      <c r="M149" s="126" t="s">
        <v>89</v>
      </c>
      <c r="N149" s="126">
        <v>41525</v>
      </c>
      <c r="O149" s="126" t="s">
        <v>89</v>
      </c>
      <c r="P149" s="126">
        <v>41527</v>
      </c>
      <c r="Q149" s="129" t="s">
        <v>939</v>
      </c>
      <c r="R149" s="123"/>
    </row>
    <row r="150" spans="1:18" s="20" customFormat="1" ht="72" x14ac:dyDescent="0.2">
      <c r="A150" s="140" t="s">
        <v>92</v>
      </c>
      <c r="B150" s="122">
        <v>1080580073</v>
      </c>
      <c r="C150" s="123">
        <v>1080579730</v>
      </c>
      <c r="D150" s="123" t="s">
        <v>93</v>
      </c>
      <c r="E150" s="157" t="s">
        <v>947</v>
      </c>
      <c r="F150" s="125">
        <v>33</v>
      </c>
      <c r="G150" s="126">
        <v>40967</v>
      </c>
      <c r="H150" s="127">
        <v>41409</v>
      </c>
      <c r="I150" s="128">
        <v>-88</v>
      </c>
      <c r="J150" s="126" t="s">
        <v>88</v>
      </c>
      <c r="K150" s="126" t="s">
        <v>88</v>
      </c>
      <c r="L150" s="126" t="s">
        <v>89</v>
      </c>
      <c r="M150" s="126" t="s">
        <v>89</v>
      </c>
      <c r="N150" s="126" t="s">
        <v>88</v>
      </c>
      <c r="O150" s="126" t="s">
        <v>88</v>
      </c>
      <c r="P150" s="126">
        <v>41529</v>
      </c>
      <c r="Q150" s="129" t="s">
        <v>956</v>
      </c>
      <c r="R150" s="123"/>
    </row>
    <row r="151" spans="1:18" s="20" customFormat="1" ht="144" x14ac:dyDescent="0.2">
      <c r="A151" s="140" t="s">
        <v>141</v>
      </c>
      <c r="B151" s="122">
        <v>1080581157</v>
      </c>
      <c r="C151" s="123">
        <v>1080581003</v>
      </c>
      <c r="D151" s="123" t="s">
        <v>139</v>
      </c>
      <c r="E151" s="157" t="s">
        <v>948</v>
      </c>
      <c r="F151" s="125" t="s">
        <v>140</v>
      </c>
      <c r="G151" s="126">
        <v>41141</v>
      </c>
      <c r="H151" s="127">
        <v>41453</v>
      </c>
      <c r="I151" s="128">
        <v>-56</v>
      </c>
      <c r="J151" s="126">
        <v>41283</v>
      </c>
      <c r="K151" s="126" t="s">
        <v>89</v>
      </c>
      <c r="L151" s="126" t="s">
        <v>89</v>
      </c>
      <c r="M151" s="126" t="s">
        <v>89</v>
      </c>
      <c r="N151" s="126">
        <v>41358</v>
      </c>
      <c r="O151" s="126" t="s">
        <v>89</v>
      </c>
      <c r="P151" s="126">
        <v>41529</v>
      </c>
      <c r="Q151" s="129" t="s">
        <v>949</v>
      </c>
      <c r="R151" s="123"/>
    </row>
    <row r="152" spans="1:18" s="20" customFormat="1" ht="108" x14ac:dyDescent="0.2">
      <c r="A152" s="140" t="s">
        <v>115</v>
      </c>
      <c r="B152" s="122">
        <v>1080580670</v>
      </c>
      <c r="C152" s="123">
        <v>1080580571</v>
      </c>
      <c r="D152" s="123" t="s">
        <v>93</v>
      </c>
      <c r="E152" s="157" t="s">
        <v>901</v>
      </c>
      <c r="F152" s="125" t="s">
        <v>116</v>
      </c>
      <c r="G152" s="126">
        <v>41051</v>
      </c>
      <c r="H152" s="127">
        <v>41426</v>
      </c>
      <c r="I152" s="128">
        <v>-82</v>
      </c>
      <c r="J152" s="126">
        <v>41331</v>
      </c>
      <c r="K152" s="126">
        <v>41381</v>
      </c>
      <c r="L152" s="126" t="s">
        <v>89</v>
      </c>
      <c r="M152" s="126" t="s">
        <v>89</v>
      </c>
      <c r="N152" s="126">
        <v>41507</v>
      </c>
      <c r="O152" s="126" t="s">
        <v>89</v>
      </c>
      <c r="P152" s="126">
        <v>41541</v>
      </c>
      <c r="Q152" s="129" t="s">
        <v>991</v>
      </c>
      <c r="R152" s="123"/>
    </row>
    <row r="153" spans="1:18" s="20" customFormat="1" ht="108" x14ac:dyDescent="0.2">
      <c r="A153" s="140" t="s">
        <v>145</v>
      </c>
      <c r="B153" s="122">
        <v>1080581254</v>
      </c>
      <c r="C153" s="123">
        <v>1080581031</v>
      </c>
      <c r="D153" s="123">
        <v>610</v>
      </c>
      <c r="E153" s="157" t="s">
        <v>992</v>
      </c>
      <c r="F153" s="125" t="s">
        <v>146</v>
      </c>
      <c r="G153" s="126">
        <v>41149</v>
      </c>
      <c r="H153" s="127">
        <v>41470</v>
      </c>
      <c r="I153" s="128">
        <v>-52</v>
      </c>
      <c r="J153" s="126">
        <v>41500</v>
      </c>
      <c r="K153" s="126" t="s">
        <v>89</v>
      </c>
      <c r="L153" s="126" t="s">
        <v>89</v>
      </c>
      <c r="M153" s="126" t="s">
        <v>89</v>
      </c>
      <c r="N153" s="126" t="s">
        <v>89</v>
      </c>
      <c r="O153" s="126">
        <v>41514</v>
      </c>
      <c r="P153" s="126">
        <v>41541</v>
      </c>
      <c r="Q153" s="129" t="s">
        <v>993</v>
      </c>
      <c r="R153" s="123"/>
    </row>
    <row r="154" spans="1:18" s="20" customFormat="1" ht="324" x14ac:dyDescent="0.2">
      <c r="A154" s="140" t="s">
        <v>165</v>
      </c>
      <c r="B154" s="122">
        <v>1080581658</v>
      </c>
      <c r="C154" s="123">
        <v>1080580830</v>
      </c>
      <c r="D154" s="123" t="s">
        <v>139</v>
      </c>
      <c r="E154" s="157" t="s">
        <v>974</v>
      </c>
      <c r="F154" s="125" t="s">
        <v>111</v>
      </c>
      <c r="G154" s="126">
        <v>41212</v>
      </c>
      <c r="H154" s="127">
        <v>41395</v>
      </c>
      <c r="I154" s="128">
        <v>-105</v>
      </c>
      <c r="J154" s="126" t="s">
        <v>89</v>
      </c>
      <c r="K154" s="126" t="s">
        <v>89</v>
      </c>
      <c r="L154" s="126">
        <v>41325</v>
      </c>
      <c r="M154" s="126" t="s">
        <v>89</v>
      </c>
      <c r="N154" s="126">
        <v>41358</v>
      </c>
      <c r="O154" s="126" t="s">
        <v>89</v>
      </c>
      <c r="P154" s="126">
        <v>41541</v>
      </c>
      <c r="Q154" s="129" t="s">
        <v>975</v>
      </c>
      <c r="R154" s="123"/>
    </row>
    <row r="155" spans="1:18" s="20" customFormat="1" ht="288" x14ac:dyDescent="0.2">
      <c r="A155" s="140" t="s">
        <v>182</v>
      </c>
      <c r="B155" s="122">
        <v>1080582386</v>
      </c>
      <c r="C155" s="123">
        <v>1080579570</v>
      </c>
      <c r="D155" s="123" t="s">
        <v>134</v>
      </c>
      <c r="E155" s="157" t="s">
        <v>976</v>
      </c>
      <c r="F155" s="125" t="s">
        <v>111</v>
      </c>
      <c r="G155" s="126">
        <v>41340</v>
      </c>
      <c r="H155" s="127">
        <v>41379</v>
      </c>
      <c r="I155" s="128">
        <v>-117</v>
      </c>
      <c r="J155" s="126" t="s">
        <v>89</v>
      </c>
      <c r="K155" s="126">
        <v>41375</v>
      </c>
      <c r="L155" s="126" t="s">
        <v>89</v>
      </c>
      <c r="M155" s="126" t="s">
        <v>89</v>
      </c>
      <c r="N155" s="126">
        <v>41480</v>
      </c>
      <c r="O155" s="126">
        <v>41376</v>
      </c>
      <c r="P155" s="126">
        <v>41541</v>
      </c>
      <c r="Q155" s="129" t="s">
        <v>975</v>
      </c>
      <c r="R155" s="123"/>
    </row>
    <row r="156" spans="1:18" s="20" customFormat="1" ht="252" x14ac:dyDescent="0.2">
      <c r="A156" s="140" t="s">
        <v>183</v>
      </c>
      <c r="B156" s="122">
        <v>1080582483</v>
      </c>
      <c r="C156" s="123">
        <v>1080580155</v>
      </c>
      <c r="D156" s="123" t="s">
        <v>134</v>
      </c>
      <c r="E156" s="157" t="s">
        <v>977</v>
      </c>
      <c r="F156" s="125" t="s">
        <v>184</v>
      </c>
      <c r="G156" s="126">
        <v>41357</v>
      </c>
      <c r="H156" s="127">
        <v>41390</v>
      </c>
      <c r="I156" s="128">
        <v>-108</v>
      </c>
      <c r="J156" s="126" t="s">
        <v>89</v>
      </c>
      <c r="K156" s="126" t="s">
        <v>89</v>
      </c>
      <c r="L156" s="126" t="s">
        <v>89</v>
      </c>
      <c r="M156" s="126" t="s">
        <v>89</v>
      </c>
      <c r="N156" s="126">
        <v>41480</v>
      </c>
      <c r="O156" s="126" t="s">
        <v>89</v>
      </c>
      <c r="P156" s="126">
        <v>41541</v>
      </c>
      <c r="Q156" s="129" t="s">
        <v>978</v>
      </c>
      <c r="R156" s="123"/>
    </row>
    <row r="157" spans="1:18" s="20" customFormat="1" ht="270" x14ac:dyDescent="0.2">
      <c r="A157" s="140" t="s">
        <v>185</v>
      </c>
      <c r="B157" s="122">
        <v>1080582519</v>
      </c>
      <c r="C157" s="123">
        <v>1080580362</v>
      </c>
      <c r="D157" s="123" t="s">
        <v>134</v>
      </c>
      <c r="E157" s="157" t="s">
        <v>979</v>
      </c>
      <c r="F157" s="125" t="s">
        <v>186</v>
      </c>
      <c r="G157" s="126">
        <v>41361</v>
      </c>
      <c r="H157" s="127">
        <v>41390</v>
      </c>
      <c r="I157" s="128">
        <v>-108</v>
      </c>
      <c r="J157" s="126" t="s">
        <v>89</v>
      </c>
      <c r="K157" s="126" t="s">
        <v>89</v>
      </c>
      <c r="L157" s="126" t="s">
        <v>89</v>
      </c>
      <c r="M157" s="126" t="s">
        <v>89</v>
      </c>
      <c r="N157" s="126">
        <v>41480</v>
      </c>
      <c r="O157" s="126" t="s">
        <v>89</v>
      </c>
      <c r="P157" s="126">
        <v>41541</v>
      </c>
      <c r="Q157" s="129" t="s">
        <v>978</v>
      </c>
      <c r="R157" s="123"/>
    </row>
    <row r="158" spans="1:18" s="20" customFormat="1" ht="198" x14ac:dyDescent="0.2">
      <c r="A158" s="140" t="s">
        <v>187</v>
      </c>
      <c r="B158" s="122">
        <v>1080582545</v>
      </c>
      <c r="C158" s="123">
        <v>1080580703</v>
      </c>
      <c r="D158" s="123" t="s">
        <v>134</v>
      </c>
      <c r="E158" s="157" t="s">
        <v>994</v>
      </c>
      <c r="F158" s="125" t="s">
        <v>184</v>
      </c>
      <c r="G158" s="126">
        <v>41367</v>
      </c>
      <c r="H158" s="127">
        <v>41502</v>
      </c>
      <c r="I158" s="128">
        <v>-28</v>
      </c>
      <c r="J158" s="126" t="s">
        <v>89</v>
      </c>
      <c r="K158" s="126" t="s">
        <v>89</v>
      </c>
      <c r="L158" s="126" t="s">
        <v>89</v>
      </c>
      <c r="M158" s="126" t="s">
        <v>89</v>
      </c>
      <c r="N158" s="126">
        <v>41383</v>
      </c>
      <c r="O158" s="126" t="s">
        <v>89</v>
      </c>
      <c r="P158" s="126">
        <v>41541</v>
      </c>
      <c r="Q158" s="129" t="s">
        <v>993</v>
      </c>
      <c r="R158" s="123"/>
    </row>
    <row r="159" spans="1:18" s="20" customFormat="1" ht="288" x14ac:dyDescent="0.2">
      <c r="A159" s="140" t="s">
        <v>194</v>
      </c>
      <c r="B159" s="122">
        <v>1080582600</v>
      </c>
      <c r="C159" s="123">
        <v>1080581280</v>
      </c>
      <c r="D159" s="123" t="s">
        <v>195</v>
      </c>
      <c r="E159" s="157" t="s">
        <v>980</v>
      </c>
      <c r="F159" s="125" t="s">
        <v>196</v>
      </c>
      <c r="G159" s="126">
        <v>41374</v>
      </c>
      <c r="H159" s="127">
        <v>41390</v>
      </c>
      <c r="I159" s="128">
        <v>-108</v>
      </c>
      <c r="J159" s="126" t="s">
        <v>89</v>
      </c>
      <c r="K159" s="126">
        <v>41480</v>
      </c>
      <c r="L159" s="126" t="s">
        <v>89</v>
      </c>
      <c r="M159" s="126" t="s">
        <v>89</v>
      </c>
      <c r="N159" s="126">
        <v>41499</v>
      </c>
      <c r="O159" s="126" t="s">
        <v>89</v>
      </c>
      <c r="P159" s="126">
        <v>41541</v>
      </c>
      <c r="Q159" s="129" t="s">
        <v>978</v>
      </c>
      <c r="R159" s="123"/>
    </row>
    <row r="160" spans="1:18" s="20" customFormat="1" ht="409.5" x14ac:dyDescent="0.2">
      <c r="A160" s="140" t="s">
        <v>205</v>
      </c>
      <c r="B160" s="122">
        <v>1080582740</v>
      </c>
      <c r="C160" s="123">
        <v>1080580704</v>
      </c>
      <c r="D160" s="123" t="s">
        <v>199</v>
      </c>
      <c r="E160" s="157" t="s">
        <v>941</v>
      </c>
      <c r="F160" s="125" t="s">
        <v>111</v>
      </c>
      <c r="G160" s="126">
        <v>41396</v>
      </c>
      <c r="H160" s="127">
        <v>41523</v>
      </c>
      <c r="I160" s="128">
        <v>-13</v>
      </c>
      <c r="J160" s="126">
        <v>41491</v>
      </c>
      <c r="K160" s="126">
        <v>41352</v>
      </c>
      <c r="L160" s="126" t="s">
        <v>89</v>
      </c>
      <c r="M160" s="126" t="s">
        <v>89</v>
      </c>
      <c r="N160" s="126">
        <v>41444</v>
      </c>
      <c r="O160" s="126" t="s">
        <v>89</v>
      </c>
      <c r="P160" s="126">
        <v>41541</v>
      </c>
      <c r="Q160" s="129" t="s">
        <v>993</v>
      </c>
      <c r="R160" s="123"/>
    </row>
    <row r="161" spans="1:18" s="20" customFormat="1" ht="234" x14ac:dyDescent="0.2">
      <c r="A161" s="140" t="s">
        <v>213</v>
      </c>
      <c r="B161" s="122">
        <v>1080582795</v>
      </c>
      <c r="C161" s="123">
        <v>1080581149</v>
      </c>
      <c r="D161" s="123" t="s">
        <v>199</v>
      </c>
      <c r="E161" s="157" t="s">
        <v>942</v>
      </c>
      <c r="F161" s="125" t="s">
        <v>190</v>
      </c>
      <c r="G161" s="126">
        <v>41403</v>
      </c>
      <c r="H161" s="127">
        <v>41523</v>
      </c>
      <c r="I161" s="128">
        <v>-13</v>
      </c>
      <c r="J161" s="126" t="s">
        <v>89</v>
      </c>
      <c r="K161" s="126">
        <v>41438</v>
      </c>
      <c r="L161" s="126" t="s">
        <v>89</v>
      </c>
      <c r="M161" s="126" t="s">
        <v>89</v>
      </c>
      <c r="N161" s="126">
        <v>41463</v>
      </c>
      <c r="O161" s="126">
        <v>41526</v>
      </c>
      <c r="P161" s="126">
        <v>41541</v>
      </c>
      <c r="Q161" s="129" t="s">
        <v>993</v>
      </c>
      <c r="R161" s="123"/>
    </row>
    <row r="162" spans="1:18" s="20" customFormat="1" ht="90" x14ac:dyDescent="0.2">
      <c r="A162" s="140" t="s">
        <v>214</v>
      </c>
      <c r="B162" s="122">
        <v>1080582804</v>
      </c>
      <c r="C162" s="123">
        <v>1080582623</v>
      </c>
      <c r="D162" s="123" t="s">
        <v>118</v>
      </c>
      <c r="E162" s="157" t="s">
        <v>906</v>
      </c>
      <c r="F162" s="125" t="s">
        <v>215</v>
      </c>
      <c r="G162" s="126">
        <v>41435</v>
      </c>
      <c r="H162" s="127">
        <v>41488</v>
      </c>
      <c r="I162" s="128">
        <v>-38</v>
      </c>
      <c r="J162" s="126" t="s">
        <v>89</v>
      </c>
      <c r="K162" s="126">
        <v>41435</v>
      </c>
      <c r="L162" s="126" t="s">
        <v>89</v>
      </c>
      <c r="M162" s="126" t="s">
        <v>89</v>
      </c>
      <c r="N162" s="126">
        <v>41418</v>
      </c>
      <c r="O162" s="126" t="s">
        <v>89</v>
      </c>
      <c r="P162" s="126">
        <v>41541</v>
      </c>
      <c r="Q162" s="129" t="s">
        <v>995</v>
      </c>
      <c r="R162" s="123"/>
    </row>
    <row r="163" spans="1:18" s="20" customFormat="1" ht="162" x14ac:dyDescent="0.2">
      <c r="A163" s="140" t="s">
        <v>252</v>
      </c>
      <c r="B163" s="122">
        <v>1080582934</v>
      </c>
      <c r="C163" s="123">
        <v>1080581493</v>
      </c>
      <c r="D163" s="123" t="s">
        <v>118</v>
      </c>
      <c r="E163" s="157" t="s">
        <v>909</v>
      </c>
      <c r="F163" s="125" t="s">
        <v>215</v>
      </c>
      <c r="G163" s="126">
        <v>41430</v>
      </c>
      <c r="H163" s="127">
        <v>41488</v>
      </c>
      <c r="I163" s="128">
        <v>-38</v>
      </c>
      <c r="J163" s="126" t="s">
        <v>89</v>
      </c>
      <c r="K163" s="126">
        <v>41431</v>
      </c>
      <c r="L163" s="126" t="s">
        <v>89</v>
      </c>
      <c r="M163" s="126" t="s">
        <v>89</v>
      </c>
      <c r="N163" s="126">
        <v>41442</v>
      </c>
      <c r="O163" s="126">
        <v>41537</v>
      </c>
      <c r="P163" s="126">
        <v>41541</v>
      </c>
      <c r="Q163" s="129" t="s">
        <v>995</v>
      </c>
      <c r="R163" s="123"/>
    </row>
    <row r="164" spans="1:18" s="20" customFormat="1" ht="108" x14ac:dyDescent="0.2">
      <c r="A164" s="140" t="s">
        <v>269</v>
      </c>
      <c r="B164" s="122">
        <v>1080583050</v>
      </c>
      <c r="C164" s="123">
        <v>1080581216</v>
      </c>
      <c r="D164" s="123" t="s">
        <v>102</v>
      </c>
      <c r="E164" s="157" t="s">
        <v>997</v>
      </c>
      <c r="F164" s="125" t="s">
        <v>244</v>
      </c>
      <c r="G164" s="126">
        <v>41446</v>
      </c>
      <c r="H164" s="127">
        <v>41474</v>
      </c>
      <c r="I164" s="128">
        <v>-48</v>
      </c>
      <c r="J164" s="126">
        <v>41480</v>
      </c>
      <c r="K164" s="126" t="s">
        <v>89</v>
      </c>
      <c r="L164" s="126" t="s">
        <v>89</v>
      </c>
      <c r="M164" s="126" t="s">
        <v>89</v>
      </c>
      <c r="N164" s="126">
        <v>41507</v>
      </c>
      <c r="O164" s="126" t="s">
        <v>89</v>
      </c>
      <c r="P164" s="126">
        <v>41541</v>
      </c>
      <c r="Q164" s="129" t="s">
        <v>995</v>
      </c>
      <c r="R164" s="123"/>
    </row>
    <row r="165" spans="1:18" s="20" customFormat="1" ht="126" x14ac:dyDescent="0.2">
      <c r="A165" s="140" t="s">
        <v>270</v>
      </c>
      <c r="B165" s="122">
        <v>1080583051</v>
      </c>
      <c r="C165" s="123">
        <v>1080582560</v>
      </c>
      <c r="D165" s="123" t="s">
        <v>261</v>
      </c>
      <c r="E165" s="157" t="s">
        <v>916</v>
      </c>
      <c r="F165" s="125" t="s">
        <v>215</v>
      </c>
      <c r="G165" s="126">
        <v>41446</v>
      </c>
      <c r="H165" s="127">
        <v>41516</v>
      </c>
      <c r="I165" s="128">
        <v>-18</v>
      </c>
      <c r="J165" s="126" t="s">
        <v>89</v>
      </c>
      <c r="K165" s="126">
        <v>41472</v>
      </c>
      <c r="L165" s="126" t="s">
        <v>89</v>
      </c>
      <c r="M165" s="126" t="s">
        <v>89</v>
      </c>
      <c r="N165" s="126">
        <v>41471</v>
      </c>
      <c r="O165" s="126">
        <v>41526</v>
      </c>
      <c r="P165" s="126">
        <v>41541</v>
      </c>
      <c r="Q165" s="129" t="s">
        <v>995</v>
      </c>
      <c r="R165" s="123"/>
    </row>
    <row r="166" spans="1:18" s="20" customFormat="1" ht="108" x14ac:dyDescent="0.2">
      <c r="A166" s="140" t="s">
        <v>95</v>
      </c>
      <c r="B166" s="122">
        <v>1080580378</v>
      </c>
      <c r="C166" s="123">
        <v>1080579642</v>
      </c>
      <c r="D166" s="123" t="s">
        <v>96</v>
      </c>
      <c r="E166" s="157" t="s">
        <v>989</v>
      </c>
      <c r="F166" s="125" t="s">
        <v>97</v>
      </c>
      <c r="G166" s="126">
        <v>41016</v>
      </c>
      <c r="H166" s="127">
        <v>41523</v>
      </c>
      <c r="I166" s="128">
        <v>-17</v>
      </c>
      <c r="J166" s="126" t="s">
        <v>89</v>
      </c>
      <c r="K166" s="126">
        <v>41536</v>
      </c>
      <c r="L166" s="126">
        <v>41247</v>
      </c>
      <c r="M166" s="126" t="s">
        <v>89</v>
      </c>
      <c r="N166" s="126" t="s">
        <v>89</v>
      </c>
      <c r="O166" s="126" t="s">
        <v>89</v>
      </c>
      <c r="P166" s="126">
        <v>41545</v>
      </c>
      <c r="Q166" s="129" t="s">
        <v>1028</v>
      </c>
      <c r="R166" s="123"/>
    </row>
    <row r="167" spans="1:18" s="20" customFormat="1" ht="126" x14ac:dyDescent="0.2">
      <c r="A167" s="140" t="s">
        <v>327</v>
      </c>
      <c r="B167" s="122">
        <v>1080583284</v>
      </c>
      <c r="C167" s="123">
        <v>1080582263</v>
      </c>
      <c r="D167" s="123" t="s">
        <v>139</v>
      </c>
      <c r="E167" s="157" t="s">
        <v>1024</v>
      </c>
      <c r="F167" s="125" t="s">
        <v>140</v>
      </c>
      <c r="G167" s="126">
        <v>41486</v>
      </c>
      <c r="H167" s="127">
        <v>41516</v>
      </c>
      <c r="I167" s="128">
        <v>-22</v>
      </c>
      <c r="J167" s="126" t="s">
        <v>89</v>
      </c>
      <c r="K167" s="126" t="s">
        <v>89</v>
      </c>
      <c r="L167" s="126" t="s">
        <v>89</v>
      </c>
      <c r="M167" s="126" t="s">
        <v>89</v>
      </c>
      <c r="N167" s="126">
        <v>41494</v>
      </c>
      <c r="O167" s="126" t="s">
        <v>89</v>
      </c>
      <c r="P167" s="126">
        <v>41545</v>
      </c>
      <c r="Q167" s="129" t="s">
        <v>1025</v>
      </c>
      <c r="R167" s="123"/>
    </row>
    <row r="168" spans="1:18" s="20" customFormat="1" ht="90" x14ac:dyDescent="0.2">
      <c r="A168" s="140" t="s">
        <v>154</v>
      </c>
      <c r="B168" s="122">
        <v>1080581410</v>
      </c>
      <c r="C168" s="123" t="s">
        <v>155</v>
      </c>
      <c r="D168" s="123" t="s">
        <v>156</v>
      </c>
      <c r="E168" s="157" t="s">
        <v>1031</v>
      </c>
      <c r="F168" s="125" t="s">
        <v>157</v>
      </c>
      <c r="G168" s="126">
        <v>41171</v>
      </c>
      <c r="H168" s="127">
        <v>41400</v>
      </c>
      <c r="I168" s="128">
        <v>-110</v>
      </c>
      <c r="J168" s="126">
        <v>41156</v>
      </c>
      <c r="K168" s="126" t="s">
        <v>89</v>
      </c>
      <c r="L168" s="126" t="s">
        <v>89</v>
      </c>
      <c r="M168" s="126" t="s">
        <v>89</v>
      </c>
      <c r="N168" s="126">
        <v>41548</v>
      </c>
      <c r="O168" s="126" t="s">
        <v>89</v>
      </c>
      <c r="P168" s="126">
        <v>41550</v>
      </c>
      <c r="Q168" s="129" t="s">
        <v>1032</v>
      </c>
      <c r="R168" s="123"/>
    </row>
    <row r="169" spans="1:18" s="20" customFormat="1" ht="409.5" x14ac:dyDescent="0.2">
      <c r="A169" s="140" t="s">
        <v>197</v>
      </c>
      <c r="B169" s="122">
        <v>1080582636</v>
      </c>
      <c r="C169" s="123">
        <v>1080581303</v>
      </c>
      <c r="D169" s="123" t="s">
        <v>134</v>
      </c>
      <c r="E169" s="157" t="s">
        <v>1015</v>
      </c>
      <c r="F169" s="125" t="s">
        <v>111</v>
      </c>
      <c r="G169" s="126">
        <v>41380</v>
      </c>
      <c r="H169" s="127">
        <v>41502</v>
      </c>
      <c r="I169" s="128">
        <v>-36</v>
      </c>
      <c r="J169" s="126">
        <v>41261</v>
      </c>
      <c r="K169" s="126" t="s">
        <v>89</v>
      </c>
      <c r="L169" s="126" t="s">
        <v>89</v>
      </c>
      <c r="M169" s="126" t="s">
        <v>89</v>
      </c>
      <c r="N169" s="126">
        <v>41499</v>
      </c>
      <c r="O169" s="126" t="s">
        <v>89</v>
      </c>
      <c r="P169" s="126">
        <v>41550</v>
      </c>
      <c r="Q169" s="129" t="s">
        <v>1035</v>
      </c>
      <c r="R169" s="123"/>
    </row>
    <row r="170" spans="1:18" s="20" customFormat="1" ht="252" x14ac:dyDescent="0.2">
      <c r="A170" s="140" t="s">
        <v>306</v>
      </c>
      <c r="B170" s="122">
        <v>1080583209</v>
      </c>
      <c r="C170" s="123">
        <v>1080582411</v>
      </c>
      <c r="D170" s="123" t="s">
        <v>307</v>
      </c>
      <c r="E170" s="157" t="s">
        <v>1020</v>
      </c>
      <c r="F170" s="125" t="s">
        <v>244</v>
      </c>
      <c r="G170" s="126">
        <v>41481</v>
      </c>
      <c r="H170" s="127">
        <v>41530</v>
      </c>
      <c r="I170" s="128">
        <v>-16</v>
      </c>
      <c r="J170" s="126" t="s">
        <v>89</v>
      </c>
      <c r="K170" s="126" t="s">
        <v>89</v>
      </c>
      <c r="L170" s="126" t="s">
        <v>89</v>
      </c>
      <c r="M170" s="126">
        <v>41544</v>
      </c>
      <c r="N170" s="126">
        <v>41499</v>
      </c>
      <c r="O170" s="126" t="s">
        <v>89</v>
      </c>
      <c r="P170" s="126">
        <v>41550</v>
      </c>
      <c r="Q170" s="129" t="s">
        <v>1032</v>
      </c>
      <c r="R170" s="123"/>
    </row>
    <row r="171" spans="1:18" s="20" customFormat="1" ht="72" x14ac:dyDescent="0.2">
      <c r="A171" s="121" t="s">
        <v>87</v>
      </c>
      <c r="B171" s="122">
        <v>1080579403</v>
      </c>
      <c r="C171" s="123">
        <v>1080579018</v>
      </c>
      <c r="D171" s="123">
        <v>610</v>
      </c>
      <c r="E171" s="157" t="s">
        <v>985</v>
      </c>
      <c r="F171" s="125">
        <v>92</v>
      </c>
      <c r="G171" s="126">
        <v>40848</v>
      </c>
      <c r="H171" s="127">
        <v>41400</v>
      </c>
      <c r="I171" s="128">
        <v>-114</v>
      </c>
      <c r="J171" s="126" t="s">
        <v>88</v>
      </c>
      <c r="K171" s="126" t="s">
        <v>88</v>
      </c>
      <c r="L171" s="126" t="s">
        <v>89</v>
      </c>
      <c r="M171" s="126" t="s">
        <v>89</v>
      </c>
      <c r="N171" s="126" t="s">
        <v>88</v>
      </c>
      <c r="O171" s="126" t="s">
        <v>89</v>
      </c>
      <c r="P171" s="126">
        <v>41554</v>
      </c>
      <c r="Q171" s="129" t="s">
        <v>1036</v>
      </c>
      <c r="R171" s="131" t="s">
        <v>91</v>
      </c>
    </row>
    <row r="172" spans="1:18" s="20" customFormat="1" ht="108" x14ac:dyDescent="0.2">
      <c r="A172" s="140" t="s">
        <v>166</v>
      </c>
      <c r="B172" s="122">
        <v>1080581697</v>
      </c>
      <c r="C172" s="123">
        <v>1080581548</v>
      </c>
      <c r="D172" s="123" t="s">
        <v>110</v>
      </c>
      <c r="E172" s="157" t="s">
        <v>1034</v>
      </c>
      <c r="F172" s="125" t="s">
        <v>167</v>
      </c>
      <c r="G172" s="126">
        <v>41215</v>
      </c>
      <c r="H172" s="127">
        <v>41502</v>
      </c>
      <c r="I172" s="128">
        <v>-41</v>
      </c>
      <c r="J172" s="126" t="s">
        <v>89</v>
      </c>
      <c r="K172" s="126">
        <v>41494</v>
      </c>
      <c r="L172" s="126" t="s">
        <v>89</v>
      </c>
      <c r="M172" s="126" t="s">
        <v>89</v>
      </c>
      <c r="N172" s="126">
        <v>41355</v>
      </c>
      <c r="O172" s="126" t="s">
        <v>89</v>
      </c>
      <c r="P172" s="126">
        <v>41559</v>
      </c>
      <c r="Q172" s="129" t="s">
        <v>1050</v>
      </c>
      <c r="R172" s="123"/>
    </row>
    <row r="173" spans="1:18" s="20" customFormat="1" ht="409.5" x14ac:dyDescent="0.2">
      <c r="A173" s="140" t="s">
        <v>188</v>
      </c>
      <c r="B173" s="122">
        <v>1080582552</v>
      </c>
      <c r="C173" s="123">
        <v>1080580750</v>
      </c>
      <c r="D173" s="123" t="s">
        <v>134</v>
      </c>
      <c r="E173" s="157" t="s">
        <v>962</v>
      </c>
      <c r="F173" s="125" t="s">
        <v>111</v>
      </c>
      <c r="G173" s="126">
        <v>41367</v>
      </c>
      <c r="H173" s="127">
        <v>41432</v>
      </c>
      <c r="I173" s="128">
        <v>-91</v>
      </c>
      <c r="J173" s="126" t="s">
        <v>89</v>
      </c>
      <c r="K173" s="126">
        <v>41030</v>
      </c>
      <c r="L173" s="126" t="s">
        <v>89</v>
      </c>
      <c r="M173" s="126" t="s">
        <v>89</v>
      </c>
      <c r="N173" s="126">
        <v>41425</v>
      </c>
      <c r="O173" s="126" t="s">
        <v>89</v>
      </c>
      <c r="P173" s="126">
        <v>41559</v>
      </c>
      <c r="Q173" s="129" t="s">
        <v>1051</v>
      </c>
      <c r="R173" s="123"/>
    </row>
    <row r="174" spans="1:18" s="20" customFormat="1" ht="90" x14ac:dyDescent="0.2">
      <c r="A174" s="140" t="s">
        <v>304</v>
      </c>
      <c r="B174" s="122">
        <v>1080583201</v>
      </c>
      <c r="C174" s="123">
        <v>1080582064</v>
      </c>
      <c r="D174" s="123" t="s">
        <v>224</v>
      </c>
      <c r="E174" s="157" t="s">
        <v>943</v>
      </c>
      <c r="F174" s="125" t="s">
        <v>215</v>
      </c>
      <c r="G174" s="126">
        <v>41474</v>
      </c>
      <c r="H174" s="127">
        <v>41516</v>
      </c>
      <c r="I174" s="128">
        <v>-31</v>
      </c>
      <c r="J174" s="126">
        <v>41372</v>
      </c>
      <c r="K174" s="126">
        <v>41348</v>
      </c>
      <c r="L174" s="126" t="s">
        <v>89</v>
      </c>
      <c r="M174" s="126">
        <v>41289</v>
      </c>
      <c r="N174" s="126">
        <v>41344</v>
      </c>
      <c r="O174" s="126" t="s">
        <v>89</v>
      </c>
      <c r="P174" s="126">
        <v>41559</v>
      </c>
      <c r="Q174" s="129" t="s">
        <v>1056</v>
      </c>
      <c r="R174" s="123"/>
    </row>
    <row r="175" spans="1:18" s="20" customFormat="1" ht="126" x14ac:dyDescent="0.2">
      <c r="A175" s="140" t="s">
        <v>173</v>
      </c>
      <c r="B175" s="122">
        <v>1080582691</v>
      </c>
      <c r="C175" s="123">
        <v>1080581917</v>
      </c>
      <c r="D175" s="123" t="s">
        <v>134</v>
      </c>
      <c r="E175" s="157" t="s">
        <v>1033</v>
      </c>
      <c r="F175" s="125" t="s">
        <v>174</v>
      </c>
      <c r="G175" s="126">
        <v>41388</v>
      </c>
      <c r="H175" s="127">
        <v>41425</v>
      </c>
      <c r="I175" s="128">
        <v>-100</v>
      </c>
      <c r="J175" s="126" t="s">
        <v>89</v>
      </c>
      <c r="K175" s="126" t="s">
        <v>89</v>
      </c>
      <c r="L175" s="126">
        <v>41389</v>
      </c>
      <c r="M175" s="126" t="s">
        <v>89</v>
      </c>
      <c r="N175" s="126">
        <v>41555</v>
      </c>
      <c r="O175" s="126" t="s">
        <v>89</v>
      </c>
      <c r="P175" s="126">
        <v>41561</v>
      </c>
      <c r="Q175" s="129" t="s">
        <v>1051</v>
      </c>
      <c r="R175" s="123"/>
    </row>
    <row r="176" spans="1:18" s="20" customFormat="1" ht="144" x14ac:dyDescent="0.2">
      <c r="A176" s="140" t="s">
        <v>234</v>
      </c>
      <c r="B176" s="122">
        <v>1080582884</v>
      </c>
      <c r="C176" s="123">
        <v>1080581914</v>
      </c>
      <c r="D176" s="123" t="s">
        <v>139</v>
      </c>
      <c r="E176" s="157" t="s">
        <v>996</v>
      </c>
      <c r="F176" s="125" t="s">
        <v>140</v>
      </c>
      <c r="G176" s="126">
        <v>41418</v>
      </c>
      <c r="H176" s="127">
        <v>41502</v>
      </c>
      <c r="I176" s="128">
        <v>-50</v>
      </c>
      <c r="J176" s="126">
        <v>41403</v>
      </c>
      <c r="K176" s="126" t="s">
        <v>89</v>
      </c>
      <c r="L176" s="126" t="s">
        <v>89</v>
      </c>
      <c r="M176" s="126" t="s">
        <v>89</v>
      </c>
      <c r="N176" s="126">
        <v>41535</v>
      </c>
      <c r="O176" s="126" t="s">
        <v>89</v>
      </c>
      <c r="P176" s="126">
        <v>41568</v>
      </c>
      <c r="Q176" s="129" t="s">
        <v>1063</v>
      </c>
      <c r="R176" s="123"/>
    </row>
    <row r="177" spans="1:18" s="20" customFormat="1" ht="144" x14ac:dyDescent="0.2">
      <c r="A177" s="140" t="s">
        <v>253</v>
      </c>
      <c r="B177" s="122">
        <v>1080582939</v>
      </c>
      <c r="C177" s="123">
        <v>1080582056</v>
      </c>
      <c r="D177" s="123" t="s">
        <v>254</v>
      </c>
      <c r="E177" s="157" t="s">
        <v>1055</v>
      </c>
      <c r="F177" s="125" t="s">
        <v>255</v>
      </c>
      <c r="G177" s="126">
        <v>41430</v>
      </c>
      <c r="H177" s="127">
        <v>41495</v>
      </c>
      <c r="I177" s="128">
        <v>-55</v>
      </c>
      <c r="J177" s="126" t="s">
        <v>89</v>
      </c>
      <c r="K177" s="126" t="s">
        <v>89</v>
      </c>
      <c r="L177" s="126" t="s">
        <v>89</v>
      </c>
      <c r="M177" s="126" t="s">
        <v>89</v>
      </c>
      <c r="N177" s="126">
        <v>41554</v>
      </c>
      <c r="O177" s="126" t="s">
        <v>89</v>
      </c>
      <c r="P177" s="126">
        <v>41568</v>
      </c>
      <c r="Q177" s="129" t="s">
        <v>1063</v>
      </c>
      <c r="R177" s="123"/>
    </row>
    <row r="178" spans="1:18" s="20" customFormat="1" ht="198" x14ac:dyDescent="0.2">
      <c r="A178" s="140" t="s">
        <v>206</v>
      </c>
      <c r="B178" s="122">
        <v>1080582748</v>
      </c>
      <c r="C178" s="123">
        <v>1080580769</v>
      </c>
      <c r="D178" s="123" t="s">
        <v>122</v>
      </c>
      <c r="E178" s="157" t="s">
        <v>1017</v>
      </c>
      <c r="F178" s="125" t="s">
        <v>97</v>
      </c>
      <c r="G178" s="126">
        <v>41397</v>
      </c>
      <c r="H178" s="127">
        <v>41502</v>
      </c>
      <c r="I178" s="128">
        <v>-55</v>
      </c>
      <c r="J178" s="126" t="s">
        <v>89</v>
      </c>
      <c r="K178" s="126">
        <v>41395</v>
      </c>
      <c r="L178" s="126" t="s">
        <v>89</v>
      </c>
      <c r="M178" s="126" t="s">
        <v>89</v>
      </c>
      <c r="N178" s="126">
        <v>41563</v>
      </c>
      <c r="O178" s="126">
        <v>41542</v>
      </c>
      <c r="P178" s="126">
        <v>41575</v>
      </c>
      <c r="Q178" s="129" t="s">
        <v>1060</v>
      </c>
      <c r="R178" s="123"/>
    </row>
    <row r="179" spans="1:18" s="20" customFormat="1" ht="144" x14ac:dyDescent="0.2">
      <c r="A179" s="140" t="s">
        <v>305</v>
      </c>
      <c r="B179" s="122">
        <v>1080583208</v>
      </c>
      <c r="C179" s="123">
        <v>1080581714</v>
      </c>
      <c r="D179" s="123" t="s">
        <v>224</v>
      </c>
      <c r="E179" s="157" t="s">
        <v>954</v>
      </c>
      <c r="F179" s="125" t="s">
        <v>215</v>
      </c>
      <c r="G179" s="126">
        <v>41477</v>
      </c>
      <c r="H179" s="127">
        <v>41523</v>
      </c>
      <c r="I179" s="128">
        <v>-40</v>
      </c>
      <c r="J179" s="126">
        <v>41449</v>
      </c>
      <c r="K179" s="126">
        <v>41472</v>
      </c>
      <c r="L179" s="126" t="s">
        <v>89</v>
      </c>
      <c r="M179" s="126" t="s">
        <v>89</v>
      </c>
      <c r="N179" s="126">
        <v>41397</v>
      </c>
      <c r="O179" s="126">
        <v>41397</v>
      </c>
      <c r="P179" s="126">
        <v>41575</v>
      </c>
      <c r="Q179" s="129" t="s">
        <v>1064</v>
      </c>
      <c r="R179" s="123"/>
    </row>
    <row r="180" spans="1:18" s="20" customFormat="1" ht="108" x14ac:dyDescent="0.2">
      <c r="A180" s="140" t="s">
        <v>316</v>
      </c>
      <c r="B180" s="122">
        <v>1080583245</v>
      </c>
      <c r="C180" s="123">
        <v>1080582556</v>
      </c>
      <c r="D180" s="123" t="s">
        <v>111</v>
      </c>
      <c r="E180" s="157" t="s">
        <v>1057</v>
      </c>
      <c r="F180" s="125" t="s">
        <v>111</v>
      </c>
      <c r="G180" s="126">
        <v>41482</v>
      </c>
      <c r="H180" s="127">
        <v>41544</v>
      </c>
      <c r="I180" s="128">
        <v>-25</v>
      </c>
      <c r="J180" s="126" t="s">
        <v>89</v>
      </c>
      <c r="K180" s="126" t="s">
        <v>89</v>
      </c>
      <c r="L180" s="126" t="s">
        <v>89</v>
      </c>
      <c r="M180" s="126" t="s">
        <v>89</v>
      </c>
      <c r="N180" s="126">
        <v>41563</v>
      </c>
      <c r="O180" s="126" t="s">
        <v>89</v>
      </c>
      <c r="P180" s="126">
        <v>41575</v>
      </c>
      <c r="Q180" s="129" t="s">
        <v>1061</v>
      </c>
      <c r="R180" s="123"/>
    </row>
    <row r="181" spans="1:18" s="20" customFormat="1" ht="270" x14ac:dyDescent="0.2">
      <c r="A181" s="140" t="s">
        <v>216</v>
      </c>
      <c r="B181" s="122">
        <v>1080582814</v>
      </c>
      <c r="C181" s="123">
        <v>1080581492</v>
      </c>
      <c r="D181" s="123">
        <v>610</v>
      </c>
      <c r="E181" s="157" t="s">
        <v>1052</v>
      </c>
      <c r="F181" s="125" t="s">
        <v>217</v>
      </c>
      <c r="G181" s="126">
        <v>41407</v>
      </c>
      <c r="H181" s="127">
        <v>41488</v>
      </c>
      <c r="I181" s="128">
        <v>-66</v>
      </c>
      <c r="J181" s="126">
        <v>41472</v>
      </c>
      <c r="K181" s="126">
        <v>41555</v>
      </c>
      <c r="L181" s="126">
        <v>41502</v>
      </c>
      <c r="M181" s="126" t="s">
        <v>89</v>
      </c>
      <c r="N181" s="126">
        <v>41578</v>
      </c>
      <c r="O181" s="126">
        <v>41577</v>
      </c>
      <c r="P181" s="126">
        <v>41579</v>
      </c>
      <c r="Q181" s="129" t="s">
        <v>1094</v>
      </c>
      <c r="R181" s="123"/>
    </row>
    <row r="182" spans="1:18" s="20" customFormat="1" ht="396" x14ac:dyDescent="0.2">
      <c r="A182" s="140" t="s">
        <v>249</v>
      </c>
      <c r="B182" s="122">
        <v>1080582928</v>
      </c>
      <c r="C182" s="123">
        <v>1080581958</v>
      </c>
      <c r="D182" s="123" t="s">
        <v>134</v>
      </c>
      <c r="E182" s="157" t="s">
        <v>912</v>
      </c>
      <c r="F182" s="125" t="s">
        <v>250</v>
      </c>
      <c r="G182" s="126">
        <v>41429</v>
      </c>
      <c r="H182" s="127">
        <v>41523</v>
      </c>
      <c r="I182" s="128">
        <v>-41</v>
      </c>
      <c r="J182" s="126">
        <v>41514</v>
      </c>
      <c r="K182" s="126" t="s">
        <v>89</v>
      </c>
      <c r="L182" s="126" t="s">
        <v>89</v>
      </c>
      <c r="M182" s="126" t="s">
        <v>89</v>
      </c>
      <c r="N182" s="126">
        <v>41577</v>
      </c>
      <c r="O182" s="126" t="s">
        <v>89</v>
      </c>
      <c r="P182" s="126">
        <v>41579</v>
      </c>
      <c r="Q182" s="129" t="s">
        <v>1086</v>
      </c>
      <c r="R182" s="123"/>
    </row>
    <row r="183" spans="1:18" s="20" customFormat="1" ht="162" x14ac:dyDescent="0.2">
      <c r="A183" s="140" t="s">
        <v>218</v>
      </c>
      <c r="B183" s="122">
        <v>1080582816</v>
      </c>
      <c r="C183" s="123">
        <v>1080580488</v>
      </c>
      <c r="D183" s="123" t="s">
        <v>102</v>
      </c>
      <c r="E183" s="157" t="s">
        <v>1084</v>
      </c>
      <c r="F183" s="125" t="s">
        <v>103</v>
      </c>
      <c r="G183" s="126">
        <v>41407</v>
      </c>
      <c r="H183" s="127">
        <v>41488</v>
      </c>
      <c r="I183" s="128">
        <v>-70</v>
      </c>
      <c r="J183" s="126">
        <v>41430</v>
      </c>
      <c r="K183" s="126" t="s">
        <v>89</v>
      </c>
      <c r="L183" s="126" t="s">
        <v>89</v>
      </c>
      <c r="M183" s="126" t="s">
        <v>89</v>
      </c>
      <c r="N183" s="126" t="s">
        <v>89</v>
      </c>
      <c r="O183" s="126" t="s">
        <v>89</v>
      </c>
      <c r="P183" s="126">
        <v>41582</v>
      </c>
      <c r="Q183" s="129" t="s">
        <v>1085</v>
      </c>
      <c r="R183" s="123"/>
    </row>
    <row r="184" spans="1:18" s="20" customFormat="1" ht="198" x14ac:dyDescent="0.2">
      <c r="A184" s="140" t="s">
        <v>247</v>
      </c>
      <c r="B184" s="122">
        <v>1080582916</v>
      </c>
      <c r="C184" s="123">
        <v>1080581738</v>
      </c>
      <c r="D184" s="123" t="s">
        <v>102</v>
      </c>
      <c r="E184" s="157" t="s">
        <v>1054</v>
      </c>
      <c r="F184" s="125" t="s">
        <v>248</v>
      </c>
      <c r="G184" s="126">
        <v>41425</v>
      </c>
      <c r="H184" s="127">
        <v>41509</v>
      </c>
      <c r="I184" s="128">
        <v>-55</v>
      </c>
      <c r="J184" s="126">
        <v>41492</v>
      </c>
      <c r="K184" s="126">
        <v>41430</v>
      </c>
      <c r="L184" s="126" t="s">
        <v>89</v>
      </c>
      <c r="M184" s="126" t="s">
        <v>89</v>
      </c>
      <c r="N184" s="126">
        <v>41554</v>
      </c>
      <c r="O184" s="126" t="s">
        <v>89</v>
      </c>
      <c r="P184" s="126">
        <v>41582</v>
      </c>
      <c r="Q184" s="129" t="s">
        <v>1086</v>
      </c>
      <c r="R184" s="123"/>
    </row>
    <row r="185" spans="1:18" s="20" customFormat="1" ht="252" x14ac:dyDescent="0.2">
      <c r="A185" s="140" t="s">
        <v>257</v>
      </c>
      <c r="B185" s="122">
        <v>1080582979</v>
      </c>
      <c r="C185" s="123">
        <v>1080582320</v>
      </c>
      <c r="D185" s="123" t="s">
        <v>122</v>
      </c>
      <c r="E185" s="157" t="s">
        <v>933</v>
      </c>
      <c r="F185" s="125" t="s">
        <v>258</v>
      </c>
      <c r="G185" s="126">
        <v>41437</v>
      </c>
      <c r="H185" s="127">
        <v>41523</v>
      </c>
      <c r="I185" s="128">
        <v>-45</v>
      </c>
      <c r="J185" s="126" t="s">
        <v>89</v>
      </c>
      <c r="K185" s="126" t="s">
        <v>89</v>
      </c>
      <c r="L185" s="126" t="s">
        <v>89</v>
      </c>
      <c r="M185" s="126" t="s">
        <v>89</v>
      </c>
      <c r="N185" s="126" t="s">
        <v>89</v>
      </c>
      <c r="O185" s="126" t="s">
        <v>89</v>
      </c>
      <c r="P185" s="126">
        <v>41582</v>
      </c>
      <c r="Q185" s="129" t="s">
        <v>1086</v>
      </c>
      <c r="R185" s="123"/>
    </row>
    <row r="186" spans="1:18" s="20" customFormat="1" ht="126" x14ac:dyDescent="0.2">
      <c r="A186" s="140" t="s">
        <v>223</v>
      </c>
      <c r="B186" s="122">
        <v>1080582836</v>
      </c>
      <c r="C186" s="123">
        <v>1080582389</v>
      </c>
      <c r="D186" s="123" t="s">
        <v>224</v>
      </c>
      <c r="E186" s="157" t="s">
        <v>907</v>
      </c>
      <c r="F186" s="125" t="s">
        <v>215</v>
      </c>
      <c r="G186" s="126">
        <v>41410</v>
      </c>
      <c r="H186" s="127">
        <v>41488</v>
      </c>
      <c r="I186" s="128">
        <v>-80</v>
      </c>
      <c r="J186" s="126">
        <v>41414</v>
      </c>
      <c r="K186" s="126">
        <v>41438</v>
      </c>
      <c r="L186" s="126" t="s">
        <v>89</v>
      </c>
      <c r="M186" s="126">
        <v>41396</v>
      </c>
      <c r="N186" s="126">
        <v>41507</v>
      </c>
      <c r="O186" s="126">
        <v>41438</v>
      </c>
      <c r="P186" s="126">
        <v>41598</v>
      </c>
      <c r="Q186" s="129" t="s">
        <v>1124</v>
      </c>
      <c r="R186" s="123"/>
    </row>
    <row r="187" spans="1:18" s="20" customFormat="1" ht="144" x14ac:dyDescent="0.2">
      <c r="A187" s="140" t="s">
        <v>280</v>
      </c>
      <c r="B187" s="122">
        <v>1080583102</v>
      </c>
      <c r="C187" s="123">
        <v>1080582321</v>
      </c>
      <c r="D187" s="123" t="s">
        <v>254</v>
      </c>
      <c r="E187" s="157" t="s">
        <v>951</v>
      </c>
      <c r="F187" s="125" t="s">
        <v>255</v>
      </c>
      <c r="G187" s="126">
        <v>41461</v>
      </c>
      <c r="H187" s="127">
        <v>41523</v>
      </c>
      <c r="I187" s="128">
        <v>-55</v>
      </c>
      <c r="J187" s="126" t="s">
        <v>89</v>
      </c>
      <c r="K187" s="126" t="s">
        <v>89</v>
      </c>
      <c r="L187" s="126" t="s">
        <v>89</v>
      </c>
      <c r="M187" s="126" t="s">
        <v>89</v>
      </c>
      <c r="N187" s="126">
        <v>41591</v>
      </c>
      <c r="O187" s="126" t="s">
        <v>89</v>
      </c>
      <c r="P187" s="126">
        <v>41598</v>
      </c>
      <c r="Q187" s="129" t="s">
        <v>1124</v>
      </c>
      <c r="R187" s="123"/>
    </row>
    <row r="188" spans="1:18" s="20" customFormat="1" ht="144" x14ac:dyDescent="0.2">
      <c r="A188" s="140" t="s">
        <v>120</v>
      </c>
      <c r="B188" s="122">
        <v>1080580753</v>
      </c>
      <c r="C188" s="123" t="s">
        <v>121</v>
      </c>
      <c r="D188" s="123" t="s">
        <v>122</v>
      </c>
      <c r="E188" s="157" t="s">
        <v>929</v>
      </c>
      <c r="F188" s="125" t="s">
        <v>111</v>
      </c>
      <c r="G188" s="126">
        <v>41067</v>
      </c>
      <c r="H188" s="127">
        <v>41400</v>
      </c>
      <c r="I188" s="128">
        <v>-154</v>
      </c>
      <c r="J188" s="126">
        <v>41109</v>
      </c>
      <c r="K188" s="126">
        <v>41410</v>
      </c>
      <c r="L188" s="126">
        <v>41330</v>
      </c>
      <c r="M188" s="126" t="s">
        <v>89</v>
      </c>
      <c r="N188" s="126">
        <v>41529</v>
      </c>
      <c r="O188" s="126">
        <v>41379</v>
      </c>
      <c r="P188" s="126">
        <v>41610</v>
      </c>
      <c r="Q188" s="129" t="s">
        <v>1144</v>
      </c>
      <c r="R188" s="123"/>
    </row>
    <row r="189" spans="1:18" s="20" customFormat="1" ht="162" x14ac:dyDescent="0.2">
      <c r="A189" s="140" t="s">
        <v>271</v>
      </c>
      <c r="B189" s="122">
        <v>1080583052</v>
      </c>
      <c r="C189" s="123">
        <v>1080582204</v>
      </c>
      <c r="D189" s="123" t="s">
        <v>254</v>
      </c>
      <c r="E189" s="157" t="s">
        <v>1137</v>
      </c>
      <c r="F189" s="125" t="s">
        <v>255</v>
      </c>
      <c r="G189" s="126">
        <v>41448</v>
      </c>
      <c r="H189" s="127">
        <v>41474</v>
      </c>
      <c r="I189" s="128">
        <v>-100</v>
      </c>
      <c r="J189" s="126" t="s">
        <v>89</v>
      </c>
      <c r="K189" s="126" t="s">
        <v>89</v>
      </c>
      <c r="L189" s="126" t="s">
        <v>89</v>
      </c>
      <c r="M189" s="126" t="s">
        <v>89</v>
      </c>
      <c r="N189" s="126">
        <v>41596</v>
      </c>
      <c r="O189" s="126" t="s">
        <v>89</v>
      </c>
      <c r="P189" s="126">
        <v>41610</v>
      </c>
      <c r="Q189" s="129" t="s">
        <v>1138</v>
      </c>
      <c r="R189" s="123"/>
    </row>
    <row r="190" spans="1:18" s="20" customFormat="1" ht="162" x14ac:dyDescent="0.2">
      <c r="A190" s="140" t="s">
        <v>318</v>
      </c>
      <c r="B190" s="122">
        <v>1080583262</v>
      </c>
      <c r="C190" s="123">
        <v>1080582260</v>
      </c>
      <c r="D190" s="123" t="s">
        <v>265</v>
      </c>
      <c r="E190" s="157" t="s">
        <v>998</v>
      </c>
      <c r="F190" s="125" t="s">
        <v>135</v>
      </c>
      <c r="G190" s="126">
        <v>41485</v>
      </c>
      <c r="H190" s="127">
        <v>41547</v>
      </c>
      <c r="I190" s="128">
        <v>-49</v>
      </c>
      <c r="J190" s="126" t="s">
        <v>89</v>
      </c>
      <c r="K190" s="126" t="s">
        <v>89</v>
      </c>
      <c r="L190" s="126" t="s">
        <v>89</v>
      </c>
      <c r="M190" s="126" t="s">
        <v>89</v>
      </c>
      <c r="N190" s="126">
        <v>41596</v>
      </c>
      <c r="O190" s="126" t="s">
        <v>89</v>
      </c>
      <c r="P190" s="126">
        <v>41610</v>
      </c>
      <c r="Q190" s="129" t="s">
        <v>1138</v>
      </c>
      <c r="R190" s="123"/>
    </row>
    <row r="191" spans="1:18" s="20" customFormat="1" ht="234" x14ac:dyDescent="0.2">
      <c r="A191" s="140" t="s">
        <v>275</v>
      </c>
      <c r="B191" s="122">
        <v>1080583098</v>
      </c>
      <c r="C191" s="123">
        <v>1080582874</v>
      </c>
      <c r="D191" s="123" t="s">
        <v>276</v>
      </c>
      <c r="E191" s="157" t="s">
        <v>950</v>
      </c>
      <c r="F191" s="125" t="s">
        <v>277</v>
      </c>
      <c r="G191" s="126">
        <v>41458</v>
      </c>
      <c r="H191" s="127">
        <v>41516</v>
      </c>
      <c r="I191" s="128">
        <v>-71</v>
      </c>
      <c r="J191" s="126" t="s">
        <v>89</v>
      </c>
      <c r="K191" s="126">
        <v>41564</v>
      </c>
      <c r="L191" s="126" t="s">
        <v>89</v>
      </c>
      <c r="M191" s="126" t="s">
        <v>89</v>
      </c>
      <c r="N191" s="126">
        <v>41613</v>
      </c>
      <c r="O191" s="126">
        <v>41611</v>
      </c>
      <c r="P191" s="126">
        <v>41614</v>
      </c>
      <c r="Q191" s="129" t="s">
        <v>1173</v>
      </c>
      <c r="R191" s="123"/>
    </row>
    <row r="192" spans="1:18" s="20" customFormat="1" ht="180" x14ac:dyDescent="0.2">
      <c r="A192" s="140" t="s">
        <v>281</v>
      </c>
      <c r="B192" s="122">
        <v>1080583103</v>
      </c>
      <c r="C192" s="123">
        <v>1080582187</v>
      </c>
      <c r="D192" s="123" t="s">
        <v>282</v>
      </c>
      <c r="E192" s="157" t="s">
        <v>952</v>
      </c>
      <c r="F192" s="125" t="s">
        <v>174</v>
      </c>
      <c r="G192" s="126">
        <v>41461</v>
      </c>
      <c r="H192" s="127">
        <v>41516</v>
      </c>
      <c r="I192" s="128">
        <v>-76</v>
      </c>
      <c r="J192" s="126" t="s">
        <v>89</v>
      </c>
      <c r="K192" s="126">
        <v>41562</v>
      </c>
      <c r="L192" s="126" t="s">
        <v>89</v>
      </c>
      <c r="M192" s="126" t="s">
        <v>89</v>
      </c>
      <c r="N192" s="126">
        <v>41600</v>
      </c>
      <c r="O192" s="126" t="s">
        <v>89</v>
      </c>
      <c r="P192" s="126">
        <v>41621</v>
      </c>
      <c r="Q192" s="129" t="s">
        <v>1183</v>
      </c>
      <c r="R192" s="123"/>
    </row>
    <row r="193" spans="1:18" s="20" customFormat="1" ht="198" x14ac:dyDescent="0.2">
      <c r="A193" s="140" t="s">
        <v>299</v>
      </c>
      <c r="B193" s="122">
        <v>1080583194</v>
      </c>
      <c r="C193" s="123">
        <v>1080582581</v>
      </c>
      <c r="D193" s="123" t="s">
        <v>122</v>
      </c>
      <c r="E193" s="157" t="s">
        <v>924</v>
      </c>
      <c r="F193" s="125" t="s">
        <v>258</v>
      </c>
      <c r="G193" s="126">
        <v>41473</v>
      </c>
      <c r="H193" s="127">
        <v>41523</v>
      </c>
      <c r="I193" s="128">
        <v>-71</v>
      </c>
      <c r="J193" s="126">
        <v>41494</v>
      </c>
      <c r="K193" s="126" t="s">
        <v>89</v>
      </c>
      <c r="L193" s="126" t="s">
        <v>89</v>
      </c>
      <c r="M193" s="126">
        <v>41544</v>
      </c>
      <c r="N193" s="126">
        <v>41582</v>
      </c>
      <c r="O193" s="126" t="s">
        <v>89</v>
      </c>
      <c r="P193" s="126">
        <v>41621</v>
      </c>
      <c r="Q193" s="129" t="s">
        <v>1175</v>
      </c>
      <c r="R193" s="123"/>
    </row>
    <row r="194" spans="1:18" s="20" customFormat="1" ht="120" x14ac:dyDescent="0.2">
      <c r="A194" s="140" t="s">
        <v>1006</v>
      </c>
      <c r="B194" s="123">
        <v>1080583648</v>
      </c>
      <c r="C194" s="123">
        <v>1080579462</v>
      </c>
      <c r="D194" s="123" t="s">
        <v>102</v>
      </c>
      <c r="E194" s="129" t="s">
        <v>1007</v>
      </c>
      <c r="F194" s="125" t="s">
        <v>103</v>
      </c>
      <c r="G194" s="126">
        <v>41538</v>
      </c>
      <c r="H194" s="126">
        <v>41649</v>
      </c>
      <c r="I194" s="158">
        <v>20</v>
      </c>
      <c r="J194" s="126">
        <v>41596</v>
      </c>
      <c r="K194" s="126" t="s">
        <v>89</v>
      </c>
      <c r="L194" s="126" t="s">
        <v>89</v>
      </c>
      <c r="M194" s="126" t="s">
        <v>89</v>
      </c>
      <c r="N194" s="126" t="s">
        <v>89</v>
      </c>
      <c r="O194" s="126" t="s">
        <v>89</v>
      </c>
      <c r="P194" s="126">
        <v>41621</v>
      </c>
      <c r="Q194" s="129" t="s">
        <v>1184</v>
      </c>
      <c r="R194" s="123"/>
    </row>
    <row r="195" spans="1:18" s="20" customFormat="1" ht="135" x14ac:dyDescent="0.2">
      <c r="A195" s="140" t="s">
        <v>1041</v>
      </c>
      <c r="B195" s="123">
        <v>1080583743</v>
      </c>
      <c r="C195" s="123">
        <v>1080582159</v>
      </c>
      <c r="D195" s="123" t="s">
        <v>102</v>
      </c>
      <c r="E195" s="129" t="s">
        <v>1047</v>
      </c>
      <c r="F195" s="125" t="s">
        <v>103</v>
      </c>
      <c r="G195" s="126">
        <v>41553</v>
      </c>
      <c r="H195" s="126">
        <v>41649</v>
      </c>
      <c r="I195" s="158">
        <v>20</v>
      </c>
      <c r="J195" s="126">
        <v>41596</v>
      </c>
      <c r="K195" s="126" t="s">
        <v>89</v>
      </c>
      <c r="L195" s="126" t="s">
        <v>89</v>
      </c>
      <c r="M195" s="126" t="s">
        <v>89</v>
      </c>
      <c r="N195" s="126" t="s">
        <v>89</v>
      </c>
      <c r="O195" s="126" t="s">
        <v>89</v>
      </c>
      <c r="P195" s="126">
        <v>41621</v>
      </c>
      <c r="Q195" s="129" t="s">
        <v>1185</v>
      </c>
      <c r="R195" s="123"/>
    </row>
    <row r="196" spans="1:18" s="20" customFormat="1" ht="135" x14ac:dyDescent="0.2">
      <c r="A196" s="140" t="s">
        <v>1078</v>
      </c>
      <c r="B196" s="123">
        <v>1080583884</v>
      </c>
      <c r="C196" s="123">
        <v>1080582203</v>
      </c>
      <c r="D196" s="123" t="s">
        <v>102</v>
      </c>
      <c r="E196" s="129" t="s">
        <v>1047</v>
      </c>
      <c r="F196" s="125" t="s">
        <v>103</v>
      </c>
      <c r="G196" s="126">
        <v>41575</v>
      </c>
      <c r="H196" s="126">
        <v>41659</v>
      </c>
      <c r="I196" s="158">
        <v>26</v>
      </c>
      <c r="J196" s="126">
        <v>41596</v>
      </c>
      <c r="K196" s="126" t="s">
        <v>89</v>
      </c>
      <c r="L196" s="126" t="s">
        <v>89</v>
      </c>
      <c r="M196" s="126" t="s">
        <v>89</v>
      </c>
      <c r="N196" s="126" t="s">
        <v>89</v>
      </c>
      <c r="O196" s="126" t="s">
        <v>89</v>
      </c>
      <c r="P196" s="126">
        <v>41621</v>
      </c>
      <c r="Q196" s="129" t="s">
        <v>1186</v>
      </c>
      <c r="R196" s="123"/>
    </row>
    <row r="197" spans="1:18" s="20" customFormat="1" ht="255" x14ac:dyDescent="0.2">
      <c r="A197" s="140" t="s">
        <v>1128</v>
      </c>
      <c r="B197" s="123">
        <v>1080584001</v>
      </c>
      <c r="C197" s="123">
        <v>1080583180</v>
      </c>
      <c r="D197" s="123" t="s">
        <v>254</v>
      </c>
      <c r="E197" s="129" t="s">
        <v>1133</v>
      </c>
      <c r="F197" s="125" t="s">
        <v>255</v>
      </c>
      <c r="G197" s="126">
        <v>41594</v>
      </c>
      <c r="H197" s="126">
        <v>41645</v>
      </c>
      <c r="I197" s="158">
        <v>16</v>
      </c>
      <c r="J197" s="126">
        <v>41493</v>
      </c>
      <c r="K197" s="126" t="s">
        <v>89</v>
      </c>
      <c r="L197" s="126" t="s">
        <v>89</v>
      </c>
      <c r="M197" s="126" t="s">
        <v>89</v>
      </c>
      <c r="N197" s="126" t="s">
        <v>89</v>
      </c>
      <c r="O197" s="126" t="s">
        <v>89</v>
      </c>
      <c r="P197" s="126">
        <v>41621</v>
      </c>
      <c r="Q197" s="129" t="s">
        <v>1187</v>
      </c>
      <c r="R197" s="123"/>
    </row>
    <row r="198" spans="1:18" s="20" customFormat="1" ht="135" x14ac:dyDescent="0.2">
      <c r="A198" s="140" t="s">
        <v>1170</v>
      </c>
      <c r="B198" s="123">
        <v>1080584119</v>
      </c>
      <c r="C198" s="123">
        <v>1080583198</v>
      </c>
      <c r="D198" s="123" t="s">
        <v>102</v>
      </c>
      <c r="E198" s="129" t="s">
        <v>1174</v>
      </c>
      <c r="F198" s="125" t="s">
        <v>103</v>
      </c>
      <c r="G198" s="126">
        <v>41612</v>
      </c>
      <c r="H198" s="126">
        <v>41680</v>
      </c>
      <c r="I198" s="158">
        <v>41</v>
      </c>
      <c r="J198" s="126">
        <v>41617</v>
      </c>
      <c r="K198" s="126" t="s">
        <v>89</v>
      </c>
      <c r="L198" s="126" t="s">
        <v>89</v>
      </c>
      <c r="M198" s="126" t="s">
        <v>89</v>
      </c>
      <c r="N198" s="126" t="s">
        <v>89</v>
      </c>
      <c r="O198" s="126" t="s">
        <v>89</v>
      </c>
      <c r="P198" s="126">
        <v>41621</v>
      </c>
      <c r="Q198" s="129" t="s">
        <v>1188</v>
      </c>
      <c r="R198" s="123"/>
    </row>
    <row r="199" spans="1:18" s="20" customFormat="1" ht="135" x14ac:dyDescent="0.2">
      <c r="A199" s="140" t="s">
        <v>1171</v>
      </c>
      <c r="B199" s="123">
        <v>1080584120</v>
      </c>
      <c r="C199" s="123">
        <v>1080583351</v>
      </c>
      <c r="D199" s="123" t="s">
        <v>102</v>
      </c>
      <c r="E199" s="129" t="s">
        <v>1174</v>
      </c>
      <c r="F199" s="125" t="s">
        <v>103</v>
      </c>
      <c r="G199" s="126">
        <v>41612</v>
      </c>
      <c r="H199" s="126">
        <v>41680</v>
      </c>
      <c r="I199" s="158">
        <v>37</v>
      </c>
      <c r="J199" s="126">
        <v>41624</v>
      </c>
      <c r="K199" s="126" t="s">
        <v>89</v>
      </c>
      <c r="L199" s="126" t="s">
        <v>89</v>
      </c>
      <c r="M199" s="126" t="s">
        <v>89</v>
      </c>
      <c r="N199" s="126" t="s">
        <v>89</v>
      </c>
      <c r="O199" s="126" t="s">
        <v>89</v>
      </c>
      <c r="P199" s="126">
        <v>41627</v>
      </c>
      <c r="Q199" s="129" t="s">
        <v>1198</v>
      </c>
      <c r="R199" s="123"/>
    </row>
    <row r="200" spans="1:18" s="20" customFormat="1" ht="270" x14ac:dyDescent="0.2">
      <c r="A200" s="140" t="s">
        <v>303</v>
      </c>
      <c r="B200" s="122">
        <v>1080583200</v>
      </c>
      <c r="C200" s="123">
        <v>1080582065</v>
      </c>
      <c r="D200" s="123" t="s">
        <v>139</v>
      </c>
      <c r="E200" s="157" t="s">
        <v>919</v>
      </c>
      <c r="F200" s="125" t="s">
        <v>140</v>
      </c>
      <c r="G200" s="126">
        <v>41474</v>
      </c>
      <c r="H200" s="127">
        <v>41516</v>
      </c>
      <c r="I200" s="128">
        <v>-81</v>
      </c>
      <c r="J200" s="126">
        <v>41444</v>
      </c>
      <c r="K200" s="126" t="s">
        <v>89</v>
      </c>
      <c r="L200" s="126" t="s">
        <v>89</v>
      </c>
      <c r="M200" s="126" t="s">
        <v>89</v>
      </c>
      <c r="N200" s="126">
        <v>41543</v>
      </c>
      <c r="O200" s="126">
        <v>41625</v>
      </c>
      <c r="P200" s="126">
        <v>41628</v>
      </c>
      <c r="Q200" s="129" t="s">
        <v>1197</v>
      </c>
      <c r="R200" s="123"/>
    </row>
    <row r="201" spans="1:18" s="20" customFormat="1" ht="120" x14ac:dyDescent="0.2">
      <c r="A201" s="140" t="s">
        <v>921</v>
      </c>
      <c r="B201" s="123">
        <v>1080583516</v>
      </c>
      <c r="C201" s="123">
        <v>1080583352</v>
      </c>
      <c r="D201" s="123" t="s">
        <v>122</v>
      </c>
      <c r="E201" s="159" t="s">
        <v>1058</v>
      </c>
      <c r="F201" s="125" t="s">
        <v>258</v>
      </c>
      <c r="G201" s="126">
        <v>41516</v>
      </c>
      <c r="H201" s="126">
        <v>41572</v>
      </c>
      <c r="I201" s="158">
        <v>-41</v>
      </c>
      <c r="J201" s="126" t="s">
        <v>89</v>
      </c>
      <c r="K201" s="126" t="s">
        <v>89</v>
      </c>
      <c r="L201" s="126" t="s">
        <v>89</v>
      </c>
      <c r="M201" s="126" t="s">
        <v>89</v>
      </c>
      <c r="N201" s="126">
        <v>41557</v>
      </c>
      <c r="O201" s="126" t="s">
        <v>89</v>
      </c>
      <c r="P201" s="126">
        <v>41628</v>
      </c>
      <c r="Q201" s="129" t="s">
        <v>1175</v>
      </c>
      <c r="R201" s="123"/>
    </row>
    <row r="202" spans="1:18" s="20" customFormat="1" ht="90" x14ac:dyDescent="0.2">
      <c r="A202" s="140" t="s">
        <v>936</v>
      </c>
      <c r="B202" s="123">
        <v>1080583567</v>
      </c>
      <c r="C202" s="123">
        <v>1080582892</v>
      </c>
      <c r="D202" s="123" t="s">
        <v>134</v>
      </c>
      <c r="E202" s="129" t="s">
        <v>944</v>
      </c>
      <c r="F202" s="125" t="s">
        <v>255</v>
      </c>
      <c r="G202" s="126">
        <v>41525</v>
      </c>
      <c r="H202" s="126">
        <v>41586</v>
      </c>
      <c r="I202" s="158">
        <v>-31</v>
      </c>
      <c r="J202" s="126" t="s">
        <v>89</v>
      </c>
      <c r="K202" s="126" t="s">
        <v>89</v>
      </c>
      <c r="L202" s="126" t="s">
        <v>89</v>
      </c>
      <c r="M202" s="126">
        <v>41516</v>
      </c>
      <c r="N202" s="126">
        <v>41620</v>
      </c>
      <c r="O202" s="126" t="s">
        <v>89</v>
      </c>
      <c r="P202" s="126">
        <v>41628</v>
      </c>
      <c r="Q202" s="129" t="s">
        <v>1195</v>
      </c>
      <c r="R202" s="123"/>
    </row>
    <row r="203" spans="1:18" s="20" customFormat="1" ht="90" x14ac:dyDescent="0.2">
      <c r="A203" s="140" t="s">
        <v>937</v>
      </c>
      <c r="B203" s="123">
        <v>1080583568</v>
      </c>
      <c r="C203" s="123">
        <v>1080582879</v>
      </c>
      <c r="D203" s="123" t="s">
        <v>134</v>
      </c>
      <c r="E203" s="129" t="s">
        <v>945</v>
      </c>
      <c r="F203" s="125" t="s">
        <v>111</v>
      </c>
      <c r="G203" s="126">
        <v>41525</v>
      </c>
      <c r="H203" s="126">
        <v>41586</v>
      </c>
      <c r="I203" s="158">
        <v>-31</v>
      </c>
      <c r="J203" s="126" t="s">
        <v>89</v>
      </c>
      <c r="K203" s="126" t="s">
        <v>89</v>
      </c>
      <c r="L203" s="126" t="s">
        <v>89</v>
      </c>
      <c r="M203" s="126">
        <v>41541</v>
      </c>
      <c r="N203" s="126">
        <v>41563</v>
      </c>
      <c r="O203" s="126" t="s">
        <v>89</v>
      </c>
      <c r="P203" s="126">
        <v>41628</v>
      </c>
      <c r="Q203" s="129" t="s">
        <v>1197</v>
      </c>
      <c r="R203" s="123"/>
    </row>
    <row r="204" spans="1:18" s="20" customFormat="1" ht="75" x14ac:dyDescent="0.2">
      <c r="A204" s="140" t="s">
        <v>1008</v>
      </c>
      <c r="B204" s="123">
        <v>1080583650</v>
      </c>
      <c r="C204" s="123">
        <v>1080582422</v>
      </c>
      <c r="D204" s="123" t="s">
        <v>134</v>
      </c>
      <c r="E204" s="129" t="s">
        <v>1009</v>
      </c>
      <c r="F204" s="125" t="s">
        <v>184</v>
      </c>
      <c r="G204" s="126">
        <v>41538</v>
      </c>
      <c r="H204" s="126">
        <v>41586</v>
      </c>
      <c r="I204" s="158">
        <v>-31</v>
      </c>
      <c r="J204" s="126" t="s">
        <v>89</v>
      </c>
      <c r="K204" s="126" t="s">
        <v>89</v>
      </c>
      <c r="L204" s="126" t="s">
        <v>89</v>
      </c>
      <c r="M204" s="126" t="s">
        <v>89</v>
      </c>
      <c r="N204" s="126">
        <v>41555</v>
      </c>
      <c r="O204" s="126" t="s">
        <v>89</v>
      </c>
      <c r="P204" s="126">
        <v>41628</v>
      </c>
      <c r="Q204" s="129" t="s">
        <v>1176</v>
      </c>
      <c r="R204" s="123"/>
    </row>
    <row r="205" spans="1:18" s="20" customFormat="1" ht="144" x14ac:dyDescent="0.2">
      <c r="A205" s="140" t="s">
        <v>109</v>
      </c>
      <c r="B205" s="122">
        <v>1080580647</v>
      </c>
      <c r="C205" s="123" t="s">
        <v>106</v>
      </c>
      <c r="D205" s="123" t="s">
        <v>110</v>
      </c>
      <c r="E205" s="157" t="s">
        <v>1143</v>
      </c>
      <c r="F205" s="125" t="s">
        <v>111</v>
      </c>
      <c r="G205" s="126">
        <v>41050</v>
      </c>
      <c r="H205" s="127">
        <v>41501</v>
      </c>
      <c r="I205" s="128">
        <v>-102</v>
      </c>
      <c r="J205" s="126">
        <v>41061</v>
      </c>
      <c r="K205" s="126">
        <v>41466</v>
      </c>
      <c r="L205" s="126">
        <v>41276</v>
      </c>
      <c r="M205" s="126" t="s">
        <v>89</v>
      </c>
      <c r="N205" s="126">
        <v>41383</v>
      </c>
      <c r="O205" s="126">
        <v>41306</v>
      </c>
      <c r="P205" s="126">
        <v>41642</v>
      </c>
      <c r="Q205" s="129" t="s">
        <v>1200</v>
      </c>
      <c r="R205" s="123"/>
    </row>
    <row r="206" spans="1:18" s="20" customFormat="1" ht="90" x14ac:dyDescent="0.2">
      <c r="A206" s="140" t="s">
        <v>1027</v>
      </c>
      <c r="B206" s="123">
        <v>1080583688</v>
      </c>
      <c r="C206" s="123">
        <v>1080582957</v>
      </c>
      <c r="D206" s="123" t="s">
        <v>134</v>
      </c>
      <c r="E206" s="129" t="s">
        <v>1030</v>
      </c>
      <c r="F206" s="125" t="s">
        <v>184</v>
      </c>
      <c r="G206" s="126">
        <v>41543</v>
      </c>
      <c r="H206" s="126">
        <v>41600</v>
      </c>
      <c r="I206" s="158">
        <v>-31</v>
      </c>
      <c r="J206" s="126" t="s">
        <v>89</v>
      </c>
      <c r="K206" s="126" t="s">
        <v>89</v>
      </c>
      <c r="L206" s="126" t="s">
        <v>89</v>
      </c>
      <c r="M206" s="126" t="s">
        <v>89</v>
      </c>
      <c r="N206" s="126">
        <v>41555</v>
      </c>
      <c r="O206" s="126" t="s">
        <v>89</v>
      </c>
      <c r="P206" s="126">
        <v>41642</v>
      </c>
      <c r="Q206" s="129" t="s">
        <v>1202</v>
      </c>
      <c r="R206" s="123"/>
    </row>
    <row r="207" spans="1:18" s="20" customFormat="1" ht="75" x14ac:dyDescent="0.2">
      <c r="A207" s="140" t="s">
        <v>1040</v>
      </c>
      <c r="B207" s="123">
        <v>1080583740</v>
      </c>
      <c r="C207" s="123">
        <v>1080582942</v>
      </c>
      <c r="D207" s="123" t="s">
        <v>122</v>
      </c>
      <c r="E207" s="129" t="s">
        <v>1046</v>
      </c>
      <c r="F207" s="125" t="s">
        <v>491</v>
      </c>
      <c r="G207" s="126">
        <v>41552</v>
      </c>
      <c r="H207" s="126">
        <v>41610</v>
      </c>
      <c r="I207" s="158">
        <v>-25</v>
      </c>
      <c r="J207" s="126" t="s">
        <v>89</v>
      </c>
      <c r="K207" s="126" t="s">
        <v>89</v>
      </c>
      <c r="L207" s="126" t="s">
        <v>89</v>
      </c>
      <c r="M207" s="126" t="s">
        <v>89</v>
      </c>
      <c r="N207" s="126">
        <v>41596</v>
      </c>
      <c r="O207" s="126" t="s">
        <v>89</v>
      </c>
      <c r="P207" s="126">
        <v>41642</v>
      </c>
      <c r="Q207" s="129" t="s">
        <v>1202</v>
      </c>
      <c r="R207" s="123"/>
    </row>
    <row r="208" spans="1:18" s="20" customFormat="1" ht="72" x14ac:dyDescent="0.2">
      <c r="A208" s="140" t="s">
        <v>117</v>
      </c>
      <c r="B208" s="122">
        <v>1080580682</v>
      </c>
      <c r="C208" s="123">
        <v>1080580120</v>
      </c>
      <c r="D208" s="123" t="s">
        <v>118</v>
      </c>
      <c r="E208" s="157" t="s">
        <v>1042</v>
      </c>
      <c r="F208" s="125" t="s">
        <v>119</v>
      </c>
      <c r="G208" s="126">
        <v>41052</v>
      </c>
      <c r="H208" s="127">
        <v>41518</v>
      </c>
      <c r="I208" s="128">
        <v>-99</v>
      </c>
      <c r="J208" s="126" t="s">
        <v>89</v>
      </c>
      <c r="K208" s="126">
        <v>41504</v>
      </c>
      <c r="L208" s="126">
        <v>41257</v>
      </c>
      <c r="M208" s="126" t="s">
        <v>89</v>
      </c>
      <c r="N208" s="126">
        <v>41504</v>
      </c>
      <c r="O208" s="126" t="s">
        <v>89</v>
      </c>
      <c r="P208" s="126">
        <v>41652</v>
      </c>
      <c r="Q208" s="129" t="s">
        <v>1235</v>
      </c>
      <c r="R208" s="123"/>
    </row>
    <row r="209" spans="1:18" s="20" customFormat="1" ht="72" x14ac:dyDescent="0.2">
      <c r="A209" s="140" t="s">
        <v>133</v>
      </c>
      <c r="B209" s="122">
        <v>1080581125</v>
      </c>
      <c r="C209" s="123">
        <v>1080580914</v>
      </c>
      <c r="D209" s="123" t="s">
        <v>134</v>
      </c>
      <c r="E209" s="157" t="s">
        <v>1201</v>
      </c>
      <c r="F209" s="125" t="s">
        <v>135</v>
      </c>
      <c r="G209" s="126">
        <v>41134</v>
      </c>
      <c r="H209" s="127">
        <v>41610</v>
      </c>
      <c r="I209" s="128">
        <v>-34</v>
      </c>
      <c r="J209" s="126" t="s">
        <v>89</v>
      </c>
      <c r="K209" s="126" t="s">
        <v>89</v>
      </c>
      <c r="L209" s="126" t="s">
        <v>89</v>
      </c>
      <c r="M209" s="126" t="s">
        <v>89</v>
      </c>
      <c r="N209" s="126" t="s">
        <v>89</v>
      </c>
      <c r="O209" s="126" t="s">
        <v>89</v>
      </c>
      <c r="P209" s="126">
        <v>41652</v>
      </c>
      <c r="Q209" s="129" t="s">
        <v>1237</v>
      </c>
      <c r="R209" s="123"/>
    </row>
    <row r="210" spans="1:18" s="20" customFormat="1" ht="144" x14ac:dyDescent="0.2">
      <c r="A210" s="140" t="s">
        <v>100</v>
      </c>
      <c r="B210" s="122">
        <v>1080580558</v>
      </c>
      <c r="C210" s="123" t="s">
        <v>101</v>
      </c>
      <c r="D210" s="123" t="s">
        <v>102</v>
      </c>
      <c r="E210" s="157" t="s">
        <v>990</v>
      </c>
      <c r="F210" s="125" t="s">
        <v>103</v>
      </c>
      <c r="G210" s="126">
        <v>41039</v>
      </c>
      <c r="H210" s="127">
        <v>41565</v>
      </c>
      <c r="I210" s="128">
        <v>-66</v>
      </c>
      <c r="J210" s="126">
        <v>41052</v>
      </c>
      <c r="K210" s="126" t="s">
        <v>89</v>
      </c>
      <c r="L210" s="126" t="s">
        <v>89</v>
      </c>
      <c r="M210" s="126" t="s">
        <v>89</v>
      </c>
      <c r="N210" s="126">
        <v>41652</v>
      </c>
      <c r="O210" s="126">
        <v>41052</v>
      </c>
      <c r="P210" s="126">
        <v>41655</v>
      </c>
      <c r="Q210" s="129" t="s">
        <v>1239</v>
      </c>
      <c r="R210" s="123"/>
    </row>
    <row r="211" spans="1:18" s="20" customFormat="1" ht="198" x14ac:dyDescent="0.2">
      <c r="A211" s="140" t="s">
        <v>142</v>
      </c>
      <c r="B211" s="122">
        <v>1080581170</v>
      </c>
      <c r="C211" s="123">
        <v>1080579108</v>
      </c>
      <c r="D211" s="123" t="s">
        <v>143</v>
      </c>
      <c r="E211" s="157" t="s">
        <v>1240</v>
      </c>
      <c r="F211" s="125" t="s">
        <v>111</v>
      </c>
      <c r="G211" s="126">
        <v>41142</v>
      </c>
      <c r="H211" s="127">
        <v>41456</v>
      </c>
      <c r="I211" s="128">
        <v>-145</v>
      </c>
      <c r="J211" s="126" t="s">
        <v>89</v>
      </c>
      <c r="K211" s="126" t="s">
        <v>89</v>
      </c>
      <c r="L211" s="126" t="s">
        <v>89</v>
      </c>
      <c r="M211" s="126" t="s">
        <v>89</v>
      </c>
      <c r="N211" s="126">
        <v>41652</v>
      </c>
      <c r="O211" s="126" t="s">
        <v>89</v>
      </c>
      <c r="P211" s="126">
        <v>41655</v>
      </c>
      <c r="Q211" s="129" t="s">
        <v>1239</v>
      </c>
      <c r="R211" s="123"/>
    </row>
    <row r="212" spans="1:18" s="20" customFormat="1" ht="306" x14ac:dyDescent="0.2">
      <c r="A212" s="140" t="s">
        <v>317</v>
      </c>
      <c r="B212" s="122">
        <v>1080583248</v>
      </c>
      <c r="C212" s="123">
        <v>1080582382</v>
      </c>
      <c r="D212" s="123" t="s">
        <v>201</v>
      </c>
      <c r="E212" s="157" t="s">
        <v>965</v>
      </c>
      <c r="F212" s="125" t="s">
        <v>294</v>
      </c>
      <c r="G212" s="126">
        <v>41483</v>
      </c>
      <c r="H212" s="127">
        <v>41614</v>
      </c>
      <c r="I212" s="128">
        <v>-31</v>
      </c>
      <c r="J212" s="126" t="s">
        <v>89</v>
      </c>
      <c r="K212" s="126" t="s">
        <v>89</v>
      </c>
      <c r="L212" s="126" t="s">
        <v>89</v>
      </c>
      <c r="M212" s="126" t="s">
        <v>89</v>
      </c>
      <c r="N212" s="126">
        <v>41652</v>
      </c>
      <c r="O212" s="126" t="s">
        <v>89</v>
      </c>
      <c r="P212" s="126">
        <v>41655</v>
      </c>
      <c r="Q212" s="129" t="s">
        <v>1241</v>
      </c>
      <c r="R212" s="123"/>
    </row>
    <row r="213" spans="1:18" s="20" customFormat="1" ht="165" x14ac:dyDescent="0.2">
      <c r="A213" s="140" t="s">
        <v>1101</v>
      </c>
      <c r="B213" s="123">
        <v>1080583958</v>
      </c>
      <c r="C213" s="123">
        <v>1080582872</v>
      </c>
      <c r="D213" s="123" t="s">
        <v>134</v>
      </c>
      <c r="E213" s="129" t="s">
        <v>1109</v>
      </c>
      <c r="F213" s="125" t="s">
        <v>1110</v>
      </c>
      <c r="G213" s="126">
        <v>41586</v>
      </c>
      <c r="H213" s="126">
        <v>41652</v>
      </c>
      <c r="I213" s="158">
        <v>-9</v>
      </c>
      <c r="J213" s="126">
        <v>41597</v>
      </c>
      <c r="K213" s="126" t="s">
        <v>89</v>
      </c>
      <c r="L213" s="126">
        <v>41656</v>
      </c>
      <c r="M213" s="126" t="s">
        <v>89</v>
      </c>
      <c r="N213" s="126">
        <v>41596</v>
      </c>
      <c r="O213" s="126" t="s">
        <v>89</v>
      </c>
      <c r="P213" s="126">
        <v>41661</v>
      </c>
      <c r="Q213" s="129" t="s">
        <v>1242</v>
      </c>
      <c r="R213" s="123"/>
    </row>
    <row r="214" spans="1:18" s="20" customFormat="1" ht="105" x14ac:dyDescent="0.2">
      <c r="A214" s="140" t="s">
        <v>105</v>
      </c>
      <c r="B214" s="123">
        <v>1080580644</v>
      </c>
      <c r="C214" s="123" t="s">
        <v>106</v>
      </c>
      <c r="D214" s="123" t="s">
        <v>107</v>
      </c>
      <c r="E214" s="159" t="s">
        <v>928</v>
      </c>
      <c r="F214" s="125" t="s">
        <v>108</v>
      </c>
      <c r="G214" s="126">
        <v>41050</v>
      </c>
      <c r="H214" s="166">
        <v>41275</v>
      </c>
      <c r="I214" s="158">
        <v>-284</v>
      </c>
      <c r="J214" s="126">
        <v>41075</v>
      </c>
      <c r="K214" s="126" t="s">
        <v>89</v>
      </c>
      <c r="L214" s="126">
        <v>41276</v>
      </c>
      <c r="M214" s="126" t="s">
        <v>89</v>
      </c>
      <c r="N214" s="126">
        <v>41667</v>
      </c>
      <c r="O214" s="126" t="s">
        <v>89</v>
      </c>
      <c r="P214" s="126">
        <v>41670</v>
      </c>
      <c r="Q214" s="129" t="s">
        <v>1260</v>
      </c>
      <c r="R214" s="123"/>
    </row>
    <row r="215" spans="1:18" s="20" customFormat="1" ht="150" x14ac:dyDescent="0.2">
      <c r="A215" s="167" t="s">
        <v>168</v>
      </c>
      <c r="B215" s="123">
        <v>1080581725</v>
      </c>
      <c r="C215" s="123">
        <v>1080581674</v>
      </c>
      <c r="D215" s="123" t="s">
        <v>169</v>
      </c>
      <c r="E215" s="159" t="s">
        <v>1261</v>
      </c>
      <c r="F215" s="125" t="s">
        <v>157</v>
      </c>
      <c r="G215" s="126">
        <v>41221</v>
      </c>
      <c r="H215" s="166">
        <v>41282</v>
      </c>
      <c r="I215" s="158">
        <v>-279</v>
      </c>
      <c r="J215" s="126" t="s">
        <v>89</v>
      </c>
      <c r="K215" s="126" t="s">
        <v>89</v>
      </c>
      <c r="L215" s="126" t="s">
        <v>89</v>
      </c>
      <c r="M215" s="126" t="s">
        <v>89</v>
      </c>
      <c r="N215" s="126">
        <v>41667</v>
      </c>
      <c r="O215" s="126" t="s">
        <v>89</v>
      </c>
      <c r="P215" s="126">
        <v>41670</v>
      </c>
      <c r="Q215" s="129" t="s">
        <v>1260</v>
      </c>
      <c r="R215" s="123"/>
    </row>
    <row r="216" spans="1:18" s="20" customFormat="1" ht="135" x14ac:dyDescent="0.2">
      <c r="A216" s="167" t="s">
        <v>219</v>
      </c>
      <c r="B216" s="123">
        <v>1080582822</v>
      </c>
      <c r="C216" s="123">
        <v>1080579978</v>
      </c>
      <c r="D216" s="123">
        <v>610</v>
      </c>
      <c r="E216" s="159" t="s">
        <v>1018</v>
      </c>
      <c r="F216" s="125" t="s">
        <v>217</v>
      </c>
      <c r="G216" s="126">
        <v>41408</v>
      </c>
      <c r="H216" s="166">
        <v>41617</v>
      </c>
      <c r="I216" s="158">
        <v>-40</v>
      </c>
      <c r="J216" s="126">
        <v>41389</v>
      </c>
      <c r="K216" s="126" t="s">
        <v>89</v>
      </c>
      <c r="L216" s="126" t="s">
        <v>89</v>
      </c>
      <c r="M216" s="126" t="s">
        <v>89</v>
      </c>
      <c r="N216" s="126">
        <v>41389</v>
      </c>
      <c r="O216" s="126">
        <v>41666</v>
      </c>
      <c r="P216" s="126">
        <v>41670</v>
      </c>
      <c r="Q216" s="129" t="s">
        <v>1262</v>
      </c>
      <c r="R216" s="123"/>
    </row>
    <row r="217" spans="1:18" s="20" customFormat="1" ht="300" x14ac:dyDescent="0.2">
      <c r="A217" s="167" t="s">
        <v>256</v>
      </c>
      <c r="B217" s="123">
        <v>1080582950</v>
      </c>
      <c r="C217" s="123">
        <v>1080582578</v>
      </c>
      <c r="D217" s="123" t="s">
        <v>254</v>
      </c>
      <c r="E217" s="159" t="s">
        <v>932</v>
      </c>
      <c r="F217" s="125" t="s">
        <v>184</v>
      </c>
      <c r="G217" s="126">
        <v>41432</v>
      </c>
      <c r="H217" s="166">
        <v>41579</v>
      </c>
      <c r="I217" s="158">
        <v>-66</v>
      </c>
      <c r="J217" s="126">
        <v>41474</v>
      </c>
      <c r="K217" s="126" t="s">
        <v>89</v>
      </c>
      <c r="L217" s="126" t="s">
        <v>89</v>
      </c>
      <c r="M217" s="126" t="s">
        <v>89</v>
      </c>
      <c r="N217" s="126">
        <v>41641</v>
      </c>
      <c r="O217" s="126">
        <v>41666</v>
      </c>
      <c r="P217" s="126">
        <v>41670</v>
      </c>
      <c r="Q217" s="129" t="s">
        <v>1264</v>
      </c>
      <c r="R217" s="123"/>
    </row>
    <row r="218" spans="1:18" s="20" customFormat="1" ht="195" x14ac:dyDescent="0.2">
      <c r="A218" s="167" t="s">
        <v>191</v>
      </c>
      <c r="B218" s="123">
        <v>1080582571</v>
      </c>
      <c r="C218" s="123">
        <v>1080581014</v>
      </c>
      <c r="D218" s="123" t="s">
        <v>134</v>
      </c>
      <c r="E218" s="159" t="s">
        <v>1014</v>
      </c>
      <c r="F218" s="125" t="s">
        <v>152</v>
      </c>
      <c r="G218" s="126">
        <v>41372</v>
      </c>
      <c r="H218" s="166">
        <v>41610</v>
      </c>
      <c r="I218" s="158">
        <v>-45</v>
      </c>
      <c r="J218" s="126" t="s">
        <v>89</v>
      </c>
      <c r="K218" s="126">
        <v>41348</v>
      </c>
      <c r="L218" s="126">
        <v>41383</v>
      </c>
      <c r="M218" s="126" t="s">
        <v>89</v>
      </c>
      <c r="N218" s="126">
        <v>41654</v>
      </c>
      <c r="O218" s="126" t="s">
        <v>89</v>
      </c>
      <c r="P218" s="126">
        <v>41671</v>
      </c>
      <c r="Q218" s="129" t="s">
        <v>1249</v>
      </c>
      <c r="R218" s="123"/>
    </row>
    <row r="219" spans="1:18" s="20" customFormat="1" ht="90" x14ac:dyDescent="0.2">
      <c r="A219" s="140" t="s">
        <v>1136</v>
      </c>
      <c r="B219" s="123">
        <v>1080584026</v>
      </c>
      <c r="C219" s="123">
        <v>1080583054</v>
      </c>
      <c r="D219" s="123" t="s">
        <v>102</v>
      </c>
      <c r="E219" s="129" t="s">
        <v>1140</v>
      </c>
      <c r="F219" s="125" t="s">
        <v>103</v>
      </c>
      <c r="G219" s="126">
        <v>41598</v>
      </c>
      <c r="H219" s="126">
        <v>41673</v>
      </c>
      <c r="I219" s="158">
        <v>1</v>
      </c>
      <c r="J219" s="126" t="s">
        <v>89</v>
      </c>
      <c r="K219" s="126" t="s">
        <v>89</v>
      </c>
      <c r="L219" s="126">
        <v>41669</v>
      </c>
      <c r="M219" s="126" t="s">
        <v>89</v>
      </c>
      <c r="N219" s="126">
        <v>41652</v>
      </c>
      <c r="O219" s="126" t="s">
        <v>89</v>
      </c>
      <c r="P219" s="126">
        <v>41671</v>
      </c>
      <c r="Q219" s="129"/>
      <c r="R219" s="123"/>
    </row>
    <row r="220" spans="1:18" s="20" customFormat="1" ht="90" x14ac:dyDescent="0.2">
      <c r="A220" s="140" t="s">
        <v>1164</v>
      </c>
      <c r="B220" s="123">
        <v>1080584094</v>
      </c>
      <c r="C220" s="123">
        <v>1080583438</v>
      </c>
      <c r="D220" s="123" t="s">
        <v>102</v>
      </c>
      <c r="E220" s="129" t="s">
        <v>1167</v>
      </c>
      <c r="F220" s="125" t="s">
        <v>103</v>
      </c>
      <c r="G220" s="126">
        <v>41609</v>
      </c>
      <c r="H220" s="126">
        <v>41660</v>
      </c>
      <c r="I220" s="158">
        <v>-9</v>
      </c>
      <c r="J220" s="126" t="s">
        <v>89</v>
      </c>
      <c r="K220" s="126" t="s">
        <v>89</v>
      </c>
      <c r="L220" s="126">
        <v>41669</v>
      </c>
      <c r="M220" s="126" t="s">
        <v>89</v>
      </c>
      <c r="N220" s="126">
        <v>41652</v>
      </c>
      <c r="O220" s="126" t="s">
        <v>89</v>
      </c>
      <c r="P220" s="126">
        <v>41671</v>
      </c>
      <c r="Q220" s="129"/>
      <c r="R220" s="123"/>
    </row>
    <row r="221" spans="1:18" s="20" customFormat="1" ht="90" x14ac:dyDescent="0.2">
      <c r="A221" s="140" t="s">
        <v>1165</v>
      </c>
      <c r="B221" s="123">
        <v>1080584095</v>
      </c>
      <c r="C221" s="123">
        <v>1080583439</v>
      </c>
      <c r="D221" s="123" t="s">
        <v>102</v>
      </c>
      <c r="E221" s="129" t="s">
        <v>1168</v>
      </c>
      <c r="F221" s="125" t="s">
        <v>103</v>
      </c>
      <c r="G221" s="126">
        <v>41609</v>
      </c>
      <c r="H221" s="126">
        <v>41660</v>
      </c>
      <c r="I221" s="158">
        <v>-9</v>
      </c>
      <c r="J221" s="126" t="s">
        <v>89</v>
      </c>
      <c r="K221" s="126" t="s">
        <v>89</v>
      </c>
      <c r="L221" s="126" t="s">
        <v>89</v>
      </c>
      <c r="M221" s="126" t="s">
        <v>89</v>
      </c>
      <c r="N221" s="126">
        <v>41652</v>
      </c>
      <c r="O221" s="126" t="s">
        <v>89</v>
      </c>
      <c r="P221" s="126">
        <v>41671</v>
      </c>
      <c r="Q221" s="129"/>
      <c r="R221" s="123"/>
    </row>
    <row r="222" spans="1:18" s="20" customFormat="1" ht="150" x14ac:dyDescent="0.2">
      <c r="A222" s="140" t="s">
        <v>1026</v>
      </c>
      <c r="B222" s="123">
        <v>1080583687</v>
      </c>
      <c r="C222" s="123">
        <v>1080582741</v>
      </c>
      <c r="D222" s="123" t="s">
        <v>227</v>
      </c>
      <c r="E222" s="129" t="s">
        <v>1029</v>
      </c>
      <c r="F222" s="125" t="s">
        <v>135</v>
      </c>
      <c r="G222" s="126">
        <v>41543</v>
      </c>
      <c r="H222" s="126">
        <v>41600</v>
      </c>
      <c r="I222" s="158">
        <v>-55</v>
      </c>
      <c r="J222" s="126" t="s">
        <v>89</v>
      </c>
      <c r="K222" s="126" t="s">
        <v>89</v>
      </c>
      <c r="L222" s="126" t="s">
        <v>89</v>
      </c>
      <c r="M222" s="126" t="s">
        <v>89</v>
      </c>
      <c r="N222" s="126">
        <v>41667</v>
      </c>
      <c r="O222" s="126" t="s">
        <v>89</v>
      </c>
      <c r="P222" s="126">
        <v>41674</v>
      </c>
      <c r="Q222" s="129" t="s">
        <v>1272</v>
      </c>
      <c r="R222" s="123"/>
    </row>
    <row r="223" spans="1:18" s="20" customFormat="1" ht="135" x14ac:dyDescent="0.2">
      <c r="A223" s="140" t="s">
        <v>1076</v>
      </c>
      <c r="B223" s="123">
        <v>1080583849</v>
      </c>
      <c r="C223" s="123">
        <v>1080582709</v>
      </c>
      <c r="D223" s="123" t="s">
        <v>1120</v>
      </c>
      <c r="E223" s="129" t="s">
        <v>1077</v>
      </c>
      <c r="F223" s="125" t="s">
        <v>167</v>
      </c>
      <c r="G223" s="126">
        <v>41568</v>
      </c>
      <c r="H223" s="126">
        <v>41631</v>
      </c>
      <c r="I223" s="158">
        <v>-34</v>
      </c>
      <c r="J223" s="126">
        <v>41575</v>
      </c>
      <c r="K223" s="126">
        <v>41661</v>
      </c>
      <c r="L223" s="126">
        <v>41605</v>
      </c>
      <c r="M223" s="126" t="s">
        <v>89</v>
      </c>
      <c r="N223" s="126">
        <v>41603</v>
      </c>
      <c r="O223" s="126">
        <v>41617</v>
      </c>
      <c r="P223" s="126">
        <v>41674</v>
      </c>
      <c r="Q223" s="129" t="s">
        <v>1250</v>
      </c>
      <c r="R223" s="123"/>
    </row>
    <row r="224" spans="1:18" s="20" customFormat="1" ht="135" x14ac:dyDescent="0.2">
      <c r="A224" s="140" t="s">
        <v>1172</v>
      </c>
      <c r="B224" s="123">
        <v>1080584122</v>
      </c>
      <c r="C224" s="123">
        <v>1080583652</v>
      </c>
      <c r="D224" s="123" t="s">
        <v>102</v>
      </c>
      <c r="E224" s="129" t="s">
        <v>1174</v>
      </c>
      <c r="F224" s="125" t="s">
        <v>103</v>
      </c>
      <c r="G224" s="126">
        <v>41613</v>
      </c>
      <c r="H224" s="126">
        <v>41680</v>
      </c>
      <c r="I224" s="158">
        <v>1</v>
      </c>
      <c r="J224" s="126">
        <v>41645</v>
      </c>
      <c r="K224" s="126" t="s">
        <v>89</v>
      </c>
      <c r="L224" s="126" t="s">
        <v>89</v>
      </c>
      <c r="M224" s="126" t="s">
        <v>89</v>
      </c>
      <c r="N224" s="126" t="s">
        <v>89</v>
      </c>
      <c r="O224" s="126" t="s">
        <v>89</v>
      </c>
      <c r="P224" s="126">
        <v>41677</v>
      </c>
      <c r="Q224" s="129" t="s">
        <v>1276</v>
      </c>
      <c r="R224" s="123"/>
    </row>
    <row r="225" spans="1:18" s="20" customFormat="1" ht="120" x14ac:dyDescent="0.2">
      <c r="A225" s="167" t="s">
        <v>150</v>
      </c>
      <c r="B225" s="133">
        <v>1080581404</v>
      </c>
      <c r="C225" s="133" t="s">
        <v>151</v>
      </c>
      <c r="D225" s="133">
        <v>610</v>
      </c>
      <c r="E225" s="168" t="s">
        <v>902</v>
      </c>
      <c r="F225" s="135" t="s">
        <v>152</v>
      </c>
      <c r="G225" s="136">
        <v>41170</v>
      </c>
      <c r="H225" s="169">
        <v>41593</v>
      </c>
      <c r="I225" s="170">
        <v>-66</v>
      </c>
      <c r="J225" s="136" t="s">
        <v>89</v>
      </c>
      <c r="K225" s="136">
        <v>41649</v>
      </c>
      <c r="L225" s="136" t="s">
        <v>89</v>
      </c>
      <c r="M225" s="136" t="s">
        <v>89</v>
      </c>
      <c r="N225" s="136">
        <v>41667</v>
      </c>
      <c r="O225" s="136" t="s">
        <v>89</v>
      </c>
      <c r="P225" s="126">
        <v>41683</v>
      </c>
      <c r="Q225" s="129" t="s">
        <v>1289</v>
      </c>
      <c r="R225" s="123"/>
    </row>
    <row r="226" spans="1:18" s="20" customFormat="1" ht="225" x14ac:dyDescent="0.2">
      <c r="A226" s="140" t="s">
        <v>960</v>
      </c>
      <c r="B226" s="123">
        <v>1080583592</v>
      </c>
      <c r="C226" s="123">
        <v>1080582980</v>
      </c>
      <c r="D226" s="123" t="s">
        <v>1010</v>
      </c>
      <c r="E226" s="129" t="s">
        <v>966</v>
      </c>
      <c r="F226" s="125" t="s">
        <v>174</v>
      </c>
      <c r="G226" s="126">
        <v>41529</v>
      </c>
      <c r="H226" s="126">
        <v>41645</v>
      </c>
      <c r="I226" s="158">
        <v>-30</v>
      </c>
      <c r="J226" s="126">
        <v>41548</v>
      </c>
      <c r="K226" s="126">
        <v>41572</v>
      </c>
      <c r="L226" s="126">
        <v>41605</v>
      </c>
      <c r="M226" s="126" t="s">
        <v>89</v>
      </c>
      <c r="N226" s="126">
        <v>41667</v>
      </c>
      <c r="O226" s="126">
        <v>41677</v>
      </c>
      <c r="P226" s="126">
        <v>41683</v>
      </c>
      <c r="Q226" s="129" t="s">
        <v>1281</v>
      </c>
      <c r="R226" s="123"/>
    </row>
    <row r="227" spans="1:18" s="20" customFormat="1" ht="240" x14ac:dyDescent="0.2">
      <c r="A227" s="140" t="s">
        <v>1070</v>
      </c>
      <c r="B227" s="123">
        <v>1080583847</v>
      </c>
      <c r="C227" s="123">
        <v>1080582906</v>
      </c>
      <c r="D227" s="123" t="s">
        <v>254</v>
      </c>
      <c r="E227" s="129" t="s">
        <v>1073</v>
      </c>
      <c r="F227" s="125" t="s">
        <v>184</v>
      </c>
      <c r="G227" s="126">
        <v>41567</v>
      </c>
      <c r="H227" s="126">
        <v>41631</v>
      </c>
      <c r="I227" s="158">
        <v>-40</v>
      </c>
      <c r="J227" s="126">
        <v>41557</v>
      </c>
      <c r="K227" s="126">
        <v>41599</v>
      </c>
      <c r="L227" s="126" t="s">
        <v>89</v>
      </c>
      <c r="M227" s="126" t="s">
        <v>89</v>
      </c>
      <c r="N227" s="126">
        <v>41596</v>
      </c>
      <c r="O227" s="126">
        <v>41682</v>
      </c>
      <c r="P227" s="126">
        <v>41683</v>
      </c>
      <c r="Q227" s="129" t="s">
        <v>1292</v>
      </c>
      <c r="R227" s="123"/>
    </row>
    <row r="228" spans="1:18" s="20" customFormat="1" ht="75" x14ac:dyDescent="0.2">
      <c r="A228" s="140" t="s">
        <v>1079</v>
      </c>
      <c r="B228" s="123">
        <v>1080583889</v>
      </c>
      <c r="C228" s="123">
        <v>1080581314</v>
      </c>
      <c r="D228" s="123" t="s">
        <v>102</v>
      </c>
      <c r="E228" s="129" t="s">
        <v>1089</v>
      </c>
      <c r="F228" s="125" t="s">
        <v>103</v>
      </c>
      <c r="G228" s="126">
        <v>41575</v>
      </c>
      <c r="H228" s="126">
        <v>41659</v>
      </c>
      <c r="I228" s="158">
        <v>-20</v>
      </c>
      <c r="J228" s="126">
        <v>41591</v>
      </c>
      <c r="K228" s="126">
        <v>41622</v>
      </c>
      <c r="L228" s="126" t="s">
        <v>89</v>
      </c>
      <c r="M228" s="126" t="s">
        <v>89</v>
      </c>
      <c r="N228" s="126">
        <v>41662</v>
      </c>
      <c r="O228" s="126">
        <v>41682</v>
      </c>
      <c r="P228" s="126">
        <v>41683</v>
      </c>
      <c r="Q228" s="129" t="s">
        <v>1292</v>
      </c>
      <c r="R228" s="123"/>
    </row>
    <row r="229" spans="1:18" s="20" customFormat="1" ht="120" x14ac:dyDescent="0.2">
      <c r="A229" s="140" t="s">
        <v>1082</v>
      </c>
      <c r="B229" s="123">
        <v>1080583909</v>
      </c>
      <c r="C229" s="123">
        <v>1080583617</v>
      </c>
      <c r="D229" s="123" t="s">
        <v>122</v>
      </c>
      <c r="E229" s="129" t="s">
        <v>1092</v>
      </c>
      <c r="F229" s="125" t="s">
        <v>258</v>
      </c>
      <c r="G229" s="126">
        <v>41577</v>
      </c>
      <c r="H229" s="126">
        <v>41645</v>
      </c>
      <c r="I229" s="158">
        <v>-30</v>
      </c>
      <c r="J229" s="126">
        <v>41556</v>
      </c>
      <c r="K229" s="126">
        <v>41562</v>
      </c>
      <c r="L229" s="126" t="s">
        <v>89</v>
      </c>
      <c r="M229" s="126" t="s">
        <v>89</v>
      </c>
      <c r="N229" s="126">
        <v>41662</v>
      </c>
      <c r="O229" s="126">
        <v>41682</v>
      </c>
      <c r="P229" s="126">
        <v>41683</v>
      </c>
      <c r="Q229" s="129" t="s">
        <v>1293</v>
      </c>
      <c r="R229" s="123"/>
    </row>
    <row r="230" spans="1:18" s="20" customFormat="1" ht="150" x14ac:dyDescent="0.2">
      <c r="A230" s="140" t="s">
        <v>911</v>
      </c>
      <c r="B230" s="123">
        <v>1080583504</v>
      </c>
      <c r="C230" s="123">
        <v>1080582673</v>
      </c>
      <c r="D230" s="123" t="s">
        <v>958</v>
      </c>
      <c r="E230" s="159" t="s">
        <v>1194</v>
      </c>
      <c r="F230" s="125" t="s">
        <v>679</v>
      </c>
      <c r="G230" s="126">
        <v>41514</v>
      </c>
      <c r="H230" s="126">
        <v>41579</v>
      </c>
      <c r="I230" s="158">
        <v>-79</v>
      </c>
      <c r="J230" s="126">
        <v>41528</v>
      </c>
      <c r="K230" s="126">
        <v>41536</v>
      </c>
      <c r="L230" s="126" t="s">
        <v>89</v>
      </c>
      <c r="M230" s="126" t="s">
        <v>89</v>
      </c>
      <c r="N230" s="126">
        <v>41676</v>
      </c>
      <c r="O230" s="126">
        <v>41557</v>
      </c>
      <c r="P230" s="126">
        <v>41687</v>
      </c>
      <c r="Q230" s="129" t="s">
        <v>1304</v>
      </c>
      <c r="R230" s="123"/>
    </row>
    <row r="231" spans="1:18" s="20" customFormat="1" ht="165" x14ac:dyDescent="0.2">
      <c r="A231" s="140" t="s">
        <v>988</v>
      </c>
      <c r="B231" s="123">
        <v>1080583645</v>
      </c>
      <c r="C231" s="123">
        <v>1080582793</v>
      </c>
      <c r="D231" s="123" t="s">
        <v>134</v>
      </c>
      <c r="E231" s="129" t="s">
        <v>1001</v>
      </c>
      <c r="F231" s="125" t="s">
        <v>1002</v>
      </c>
      <c r="G231" s="126">
        <v>41537</v>
      </c>
      <c r="H231" s="126">
        <v>41593</v>
      </c>
      <c r="I231" s="158">
        <v>-75</v>
      </c>
      <c r="J231" s="126" t="s">
        <v>89</v>
      </c>
      <c r="K231" s="126">
        <v>41414</v>
      </c>
      <c r="L231" s="126" t="s">
        <v>89</v>
      </c>
      <c r="M231" s="126">
        <v>41667</v>
      </c>
      <c r="N231" s="126">
        <v>41675</v>
      </c>
      <c r="O231" s="126" t="s">
        <v>89</v>
      </c>
      <c r="P231" s="126">
        <v>41695</v>
      </c>
      <c r="Q231" s="129" t="s">
        <v>1306</v>
      </c>
      <c r="R231" s="123"/>
    </row>
    <row r="232" spans="1:18" s="20" customFormat="1" ht="225" x14ac:dyDescent="0.2">
      <c r="A232" s="167" t="s">
        <v>246</v>
      </c>
      <c r="B232" s="123">
        <v>1080582912</v>
      </c>
      <c r="C232" s="123">
        <v>1080581960</v>
      </c>
      <c r="D232" s="123" t="s">
        <v>134</v>
      </c>
      <c r="E232" s="159" t="s">
        <v>1053</v>
      </c>
      <c r="F232" s="125" t="s">
        <v>135</v>
      </c>
      <c r="G232" s="126">
        <v>41424</v>
      </c>
      <c r="H232" s="166">
        <v>41523</v>
      </c>
      <c r="I232" s="158">
        <v>-135</v>
      </c>
      <c r="J232" s="126">
        <v>41492</v>
      </c>
      <c r="K232" s="126">
        <v>41458</v>
      </c>
      <c r="L232" s="126" t="s">
        <v>89</v>
      </c>
      <c r="M232" s="126" t="s">
        <v>89</v>
      </c>
      <c r="N232" s="126">
        <v>41652</v>
      </c>
      <c r="O232" s="126" t="s">
        <v>89</v>
      </c>
      <c r="P232" s="126">
        <v>41710</v>
      </c>
      <c r="Q232" s="129" t="s">
        <v>1317</v>
      </c>
      <c r="R232" s="123"/>
    </row>
    <row r="233" spans="1:18" s="20" customFormat="1" ht="105" x14ac:dyDescent="0.2">
      <c r="A233" s="167" t="s">
        <v>319</v>
      </c>
      <c r="B233" s="123">
        <v>1080583263</v>
      </c>
      <c r="C233" s="123">
        <v>1080582260</v>
      </c>
      <c r="D233" s="123" t="s">
        <v>265</v>
      </c>
      <c r="E233" s="159" t="s">
        <v>999</v>
      </c>
      <c r="F233" s="125" t="s">
        <v>215</v>
      </c>
      <c r="G233" s="126">
        <v>41485</v>
      </c>
      <c r="H233" s="166">
        <v>41547</v>
      </c>
      <c r="I233" s="158">
        <v>-119</v>
      </c>
      <c r="J233" s="126" t="s">
        <v>89</v>
      </c>
      <c r="K233" s="126">
        <v>41536</v>
      </c>
      <c r="L233" s="126" t="s">
        <v>89</v>
      </c>
      <c r="M233" s="126" t="s">
        <v>89</v>
      </c>
      <c r="N233" s="126">
        <v>41697</v>
      </c>
      <c r="O233" s="126" t="s">
        <v>89</v>
      </c>
      <c r="P233" s="126">
        <v>41708</v>
      </c>
      <c r="Q233" s="129" t="s">
        <v>1326</v>
      </c>
      <c r="R233" s="123"/>
    </row>
    <row r="234" spans="1:18" s="20" customFormat="1" ht="75" x14ac:dyDescent="0.2">
      <c r="A234" s="140" t="s">
        <v>946</v>
      </c>
      <c r="B234" s="123">
        <v>1080583572</v>
      </c>
      <c r="C234" s="123">
        <v>1080582776</v>
      </c>
      <c r="D234" s="123" t="s">
        <v>959</v>
      </c>
      <c r="E234" s="129" t="s">
        <v>955</v>
      </c>
      <c r="F234" s="125" t="s">
        <v>229</v>
      </c>
      <c r="G234" s="126">
        <v>41526</v>
      </c>
      <c r="H234" s="126">
        <v>41614</v>
      </c>
      <c r="I234" s="158">
        <v>-70</v>
      </c>
      <c r="J234" s="126" t="s">
        <v>89</v>
      </c>
      <c r="K234" s="126">
        <v>41533</v>
      </c>
      <c r="L234" s="126" t="s">
        <v>89</v>
      </c>
      <c r="M234" s="126" t="s">
        <v>89</v>
      </c>
      <c r="N234" s="126">
        <v>41639</v>
      </c>
      <c r="O234" s="126">
        <v>41686</v>
      </c>
      <c r="P234" s="126">
        <v>41710</v>
      </c>
      <c r="Q234" s="129" t="s">
        <v>1305</v>
      </c>
      <c r="R234" s="123"/>
    </row>
    <row r="235" spans="1:18" s="20" customFormat="1" ht="120" x14ac:dyDescent="0.2">
      <c r="A235" s="140" t="s">
        <v>1224</v>
      </c>
      <c r="B235" s="123">
        <v>1080584228</v>
      </c>
      <c r="C235" s="123">
        <v>1080583582</v>
      </c>
      <c r="D235" s="123" t="s">
        <v>134</v>
      </c>
      <c r="E235" s="129" t="s">
        <v>1230</v>
      </c>
      <c r="F235" s="125" t="s">
        <v>1231</v>
      </c>
      <c r="G235" s="126">
        <v>41647</v>
      </c>
      <c r="H235" s="126">
        <v>41708</v>
      </c>
      <c r="I235" s="158">
        <v>-4</v>
      </c>
      <c r="J235" s="126" t="s">
        <v>89</v>
      </c>
      <c r="K235" s="126" t="s">
        <v>89</v>
      </c>
      <c r="L235" s="126" t="s">
        <v>89</v>
      </c>
      <c r="M235" s="126" t="s">
        <v>89</v>
      </c>
      <c r="N235" s="126">
        <v>41680</v>
      </c>
      <c r="O235" s="126" t="s">
        <v>89</v>
      </c>
      <c r="P235" s="126">
        <v>41708</v>
      </c>
      <c r="Q235" s="129" t="s">
        <v>1328</v>
      </c>
      <c r="R235" s="123"/>
    </row>
    <row r="236" spans="1:18" s="20" customFormat="1" ht="120" x14ac:dyDescent="0.2">
      <c r="A236" s="167" t="s">
        <v>198</v>
      </c>
      <c r="B236" s="123">
        <v>1080582665</v>
      </c>
      <c r="C236" s="123">
        <v>1080581444</v>
      </c>
      <c r="D236" s="123" t="s">
        <v>199</v>
      </c>
      <c r="E236" s="159" t="s">
        <v>1315</v>
      </c>
      <c r="F236" s="125" t="s">
        <v>184</v>
      </c>
      <c r="G236" s="126">
        <v>41383</v>
      </c>
      <c r="H236" s="166">
        <v>41523</v>
      </c>
      <c r="I236" s="158">
        <v>-140</v>
      </c>
      <c r="J236" s="126" t="s">
        <v>89</v>
      </c>
      <c r="K236" s="126" t="s">
        <v>89</v>
      </c>
      <c r="L236" s="126" t="s">
        <v>89</v>
      </c>
      <c r="M236" s="126" t="s">
        <v>89</v>
      </c>
      <c r="N236" s="126">
        <v>41695</v>
      </c>
      <c r="O236" s="126" t="s">
        <v>89</v>
      </c>
      <c r="P236" s="126">
        <v>41717</v>
      </c>
      <c r="Q236" s="129" t="s">
        <v>1314</v>
      </c>
      <c r="R236" s="123"/>
    </row>
    <row r="237" spans="1:18" s="20" customFormat="1" ht="195" x14ac:dyDescent="0.2">
      <c r="A237" s="167" t="s">
        <v>204</v>
      </c>
      <c r="B237" s="123">
        <v>1080582726</v>
      </c>
      <c r="C237" s="123">
        <v>1080579802</v>
      </c>
      <c r="D237" s="123" t="s">
        <v>139</v>
      </c>
      <c r="E237" s="159" t="s">
        <v>1316</v>
      </c>
      <c r="F237" s="125" t="s">
        <v>140</v>
      </c>
      <c r="G237" s="126">
        <v>41394</v>
      </c>
      <c r="H237" s="166">
        <v>41439</v>
      </c>
      <c r="I237" s="158">
        <v>-200</v>
      </c>
      <c r="J237" s="126" t="s">
        <v>89</v>
      </c>
      <c r="K237" s="126" t="s">
        <v>89</v>
      </c>
      <c r="L237" s="126" t="s">
        <v>89</v>
      </c>
      <c r="M237" s="126" t="s">
        <v>89</v>
      </c>
      <c r="N237" s="126">
        <v>41695</v>
      </c>
      <c r="O237" s="126" t="s">
        <v>89</v>
      </c>
      <c r="P237" s="126">
        <v>41717</v>
      </c>
      <c r="Q237" s="129" t="s">
        <v>1317</v>
      </c>
      <c r="R237" s="123"/>
    </row>
    <row r="238" spans="1:18" s="20" customFormat="1" ht="120" x14ac:dyDescent="0.2">
      <c r="A238" s="140" t="s">
        <v>910</v>
      </c>
      <c r="B238" s="123">
        <v>1080583501</v>
      </c>
      <c r="C238" s="123">
        <v>1080582763</v>
      </c>
      <c r="D238" s="123" t="s">
        <v>96</v>
      </c>
      <c r="E238" s="159" t="s">
        <v>920</v>
      </c>
      <c r="F238" s="125" t="s">
        <v>111</v>
      </c>
      <c r="G238" s="126">
        <v>41514</v>
      </c>
      <c r="H238" s="126">
        <v>41565</v>
      </c>
      <c r="I238" s="158">
        <v>-110</v>
      </c>
      <c r="J238" s="126" t="s">
        <v>89</v>
      </c>
      <c r="K238" s="126">
        <v>41559</v>
      </c>
      <c r="L238" s="126" t="s">
        <v>89</v>
      </c>
      <c r="M238" s="126" t="s">
        <v>89</v>
      </c>
      <c r="N238" s="126">
        <v>41656</v>
      </c>
      <c r="O238" s="126">
        <v>41690</v>
      </c>
      <c r="P238" s="126">
        <v>41717</v>
      </c>
      <c r="Q238" s="129" t="s">
        <v>1318</v>
      </c>
      <c r="R238" s="123"/>
    </row>
    <row r="239" spans="1:18" s="20" customFormat="1" ht="180" x14ac:dyDescent="0.2">
      <c r="A239" s="140" t="s">
        <v>1062</v>
      </c>
      <c r="B239" s="123">
        <v>1080583844</v>
      </c>
      <c r="C239" s="123">
        <v>1080583136</v>
      </c>
      <c r="D239" s="123" t="s">
        <v>139</v>
      </c>
      <c r="E239" s="129" t="s">
        <v>1065</v>
      </c>
      <c r="F239" s="125" t="s">
        <v>1066</v>
      </c>
      <c r="G239" s="126">
        <v>41565</v>
      </c>
      <c r="H239" s="126">
        <v>41659</v>
      </c>
      <c r="I239" s="158">
        <v>-44</v>
      </c>
      <c r="J239" s="126">
        <v>41603</v>
      </c>
      <c r="K239" s="126">
        <v>41661</v>
      </c>
      <c r="L239" s="126">
        <v>41669</v>
      </c>
      <c r="M239" s="126" t="s">
        <v>89</v>
      </c>
      <c r="N239" s="126">
        <v>41596</v>
      </c>
      <c r="O239" s="126">
        <v>41682</v>
      </c>
      <c r="P239" s="126">
        <v>41717</v>
      </c>
      <c r="Q239" s="129" t="s">
        <v>1320</v>
      </c>
      <c r="R239" s="123"/>
    </row>
    <row r="240" spans="1:18" s="20" customFormat="1" ht="150" x14ac:dyDescent="0.2">
      <c r="A240" s="140" t="s">
        <v>1103</v>
      </c>
      <c r="B240" s="123">
        <v>1080583960</v>
      </c>
      <c r="C240" s="123">
        <v>1080582911</v>
      </c>
      <c r="D240" s="123" t="s">
        <v>110</v>
      </c>
      <c r="E240" s="129" t="s">
        <v>1112</v>
      </c>
      <c r="F240" s="125" t="s">
        <v>174</v>
      </c>
      <c r="G240" s="126">
        <v>41586</v>
      </c>
      <c r="H240" s="126">
        <v>41652</v>
      </c>
      <c r="I240" s="158">
        <v>-49</v>
      </c>
      <c r="J240" s="126" t="s">
        <v>89</v>
      </c>
      <c r="K240" s="126">
        <v>41618</v>
      </c>
      <c r="L240" s="126">
        <v>41609</v>
      </c>
      <c r="M240" s="126" t="s">
        <v>89</v>
      </c>
      <c r="N240" s="126">
        <v>41609</v>
      </c>
      <c r="O240" s="126">
        <v>41677</v>
      </c>
      <c r="P240" s="126">
        <v>41717</v>
      </c>
      <c r="Q240" s="129" t="s">
        <v>1282</v>
      </c>
      <c r="R240" s="123"/>
    </row>
    <row r="241" spans="1:18" s="20" customFormat="1" ht="60" x14ac:dyDescent="0.2">
      <c r="A241" s="140" t="s">
        <v>1180</v>
      </c>
      <c r="B241" s="123">
        <v>1080584145</v>
      </c>
      <c r="C241" s="123">
        <v>1080583702</v>
      </c>
      <c r="D241" s="123" t="s">
        <v>1203</v>
      </c>
      <c r="E241" s="129" t="s">
        <v>1190</v>
      </c>
      <c r="F241" s="125" t="s">
        <v>255</v>
      </c>
      <c r="G241" s="126">
        <v>41617</v>
      </c>
      <c r="H241" s="126">
        <v>41701</v>
      </c>
      <c r="I241" s="158">
        <v>-14</v>
      </c>
      <c r="J241" s="126" t="s">
        <v>89</v>
      </c>
      <c r="K241" s="126" t="s">
        <v>89</v>
      </c>
      <c r="L241" s="126" t="s">
        <v>89</v>
      </c>
      <c r="M241" s="126" t="s">
        <v>89</v>
      </c>
      <c r="N241" s="126">
        <v>41652</v>
      </c>
      <c r="O241" s="126" t="s">
        <v>89</v>
      </c>
      <c r="P241" s="126">
        <v>41717</v>
      </c>
      <c r="Q241" s="129" t="s">
        <v>1328</v>
      </c>
      <c r="R241" s="123"/>
    </row>
    <row r="242" spans="1:18" s="20" customFormat="1" ht="90" x14ac:dyDescent="0.2">
      <c r="A242" s="140" t="s">
        <v>1182</v>
      </c>
      <c r="B242" s="123">
        <v>1080584154</v>
      </c>
      <c r="C242" s="123">
        <v>1080583035</v>
      </c>
      <c r="D242" s="123" t="s">
        <v>102</v>
      </c>
      <c r="E242" s="129" t="s">
        <v>1193</v>
      </c>
      <c r="F242" s="125" t="s">
        <v>103</v>
      </c>
      <c r="G242" s="126">
        <v>41619</v>
      </c>
      <c r="H242" s="126">
        <v>41703</v>
      </c>
      <c r="I242" s="158">
        <v>-12</v>
      </c>
      <c r="J242" s="126" t="s">
        <v>89</v>
      </c>
      <c r="K242" s="126" t="s">
        <v>89</v>
      </c>
      <c r="L242" s="126" t="s">
        <v>89</v>
      </c>
      <c r="M242" s="126" t="s">
        <v>89</v>
      </c>
      <c r="N242" s="126">
        <v>41652</v>
      </c>
      <c r="O242" s="126" t="s">
        <v>89</v>
      </c>
      <c r="P242" s="126">
        <v>41717</v>
      </c>
      <c r="Q242" s="129" t="s">
        <v>1344</v>
      </c>
      <c r="R242" s="123"/>
    </row>
    <row r="243" spans="1:18" s="20" customFormat="1" ht="180" x14ac:dyDescent="0.2">
      <c r="A243" s="167" t="s">
        <v>170</v>
      </c>
      <c r="B243" s="123">
        <v>1080581886</v>
      </c>
      <c r="C243" s="123">
        <v>1080578976</v>
      </c>
      <c r="D243" s="123" t="s">
        <v>134</v>
      </c>
      <c r="E243" s="159" t="s">
        <v>1013</v>
      </c>
      <c r="F243" s="125" t="s">
        <v>111</v>
      </c>
      <c r="G243" s="126">
        <v>41247</v>
      </c>
      <c r="H243" s="166">
        <v>41610</v>
      </c>
      <c r="I243" s="158">
        <v>-80</v>
      </c>
      <c r="J243" s="126">
        <v>41092</v>
      </c>
      <c r="K243" s="126">
        <v>41311</v>
      </c>
      <c r="L243" s="126">
        <v>41333</v>
      </c>
      <c r="M243" s="126" t="s">
        <v>89</v>
      </c>
      <c r="N243" s="126">
        <v>41435</v>
      </c>
      <c r="O243" s="126">
        <v>41527</v>
      </c>
      <c r="P243" s="126">
        <v>41719</v>
      </c>
      <c r="Q243" s="129" t="s">
        <v>1314</v>
      </c>
      <c r="R243" s="123"/>
    </row>
    <row r="244" spans="1:18" s="20" customFormat="1" ht="330" x14ac:dyDescent="0.2">
      <c r="A244" s="167" t="s">
        <v>208</v>
      </c>
      <c r="B244" s="123">
        <v>1080582770</v>
      </c>
      <c r="C244" s="123">
        <v>1080581130</v>
      </c>
      <c r="D244" s="123" t="s">
        <v>199</v>
      </c>
      <c r="E244" s="159" t="s">
        <v>905</v>
      </c>
      <c r="F244" s="125" t="s">
        <v>111</v>
      </c>
      <c r="G244" s="126">
        <v>41402</v>
      </c>
      <c r="H244" s="166">
        <v>41523</v>
      </c>
      <c r="I244" s="158">
        <v>-141</v>
      </c>
      <c r="J244" s="126">
        <v>41521</v>
      </c>
      <c r="K244" s="126">
        <v>41593</v>
      </c>
      <c r="L244" s="126" t="s">
        <v>89</v>
      </c>
      <c r="M244" s="126" t="s">
        <v>89</v>
      </c>
      <c r="N244" s="126">
        <v>41662</v>
      </c>
      <c r="O244" s="126">
        <v>41674</v>
      </c>
      <c r="P244" s="126">
        <v>41719</v>
      </c>
      <c r="Q244" s="129" t="s">
        <v>1317</v>
      </c>
      <c r="R244" s="123"/>
    </row>
    <row r="245" spans="1:18" s="20" customFormat="1" ht="105" x14ac:dyDescent="0.2">
      <c r="A245" s="167" t="s">
        <v>273</v>
      </c>
      <c r="B245" s="123">
        <v>1080583093</v>
      </c>
      <c r="C245" s="123">
        <v>1080582272</v>
      </c>
      <c r="D245" s="123" t="s">
        <v>274</v>
      </c>
      <c r="E245" s="159" t="s">
        <v>1087</v>
      </c>
      <c r="F245" s="125" t="s">
        <v>181</v>
      </c>
      <c r="G245" s="126">
        <v>41457</v>
      </c>
      <c r="H245" s="166">
        <v>41502</v>
      </c>
      <c r="I245" s="158">
        <v>-156</v>
      </c>
      <c r="J245" s="126" t="s">
        <v>89</v>
      </c>
      <c r="K245" s="126">
        <v>41486</v>
      </c>
      <c r="L245" s="126" t="s">
        <v>89</v>
      </c>
      <c r="M245" s="126" t="s">
        <v>89</v>
      </c>
      <c r="N245" s="126">
        <v>41712</v>
      </c>
      <c r="O245" s="126" t="s">
        <v>89</v>
      </c>
      <c r="P245" s="126">
        <v>41719</v>
      </c>
      <c r="Q245" s="129" t="s">
        <v>1353</v>
      </c>
      <c r="R245" s="123"/>
    </row>
    <row r="246" spans="1:18" s="20" customFormat="1" ht="75" x14ac:dyDescent="0.2">
      <c r="A246" s="140" t="s">
        <v>1215</v>
      </c>
      <c r="B246" s="123">
        <v>1080584194</v>
      </c>
      <c r="C246" s="123">
        <v>1080581837</v>
      </c>
      <c r="D246" s="123" t="s">
        <v>1122</v>
      </c>
      <c r="E246" s="129" t="s">
        <v>1216</v>
      </c>
      <c r="F246" s="125" t="s">
        <v>167</v>
      </c>
      <c r="G246" s="126">
        <v>41641</v>
      </c>
      <c r="H246" s="126">
        <v>41701</v>
      </c>
      <c r="I246" s="158">
        <v>-19</v>
      </c>
      <c r="J246" s="126" t="s">
        <v>89</v>
      </c>
      <c r="K246" s="126">
        <v>41601</v>
      </c>
      <c r="L246" s="126" t="s">
        <v>89</v>
      </c>
      <c r="M246" s="126" t="s">
        <v>89</v>
      </c>
      <c r="N246" s="126">
        <v>41661</v>
      </c>
      <c r="O246" s="126">
        <v>41660</v>
      </c>
      <c r="P246" s="126">
        <v>41722</v>
      </c>
      <c r="Q246" s="129" t="s">
        <v>1365</v>
      </c>
      <c r="R246" s="123"/>
    </row>
    <row r="247" spans="1:18" s="20" customFormat="1" ht="120" x14ac:dyDescent="0.2">
      <c r="A247" s="167" t="s">
        <v>130</v>
      </c>
      <c r="B247" s="123">
        <v>1080581113</v>
      </c>
      <c r="C247" s="123">
        <v>1080580914</v>
      </c>
      <c r="D247" s="123" t="s">
        <v>131</v>
      </c>
      <c r="E247" s="159" t="s">
        <v>1311</v>
      </c>
      <c r="F247" s="125" t="s">
        <v>132</v>
      </c>
      <c r="G247" s="126">
        <v>41134</v>
      </c>
      <c r="H247" s="166">
        <v>41456</v>
      </c>
      <c r="I247" s="158">
        <v>-210</v>
      </c>
      <c r="J247" s="126">
        <v>41151</v>
      </c>
      <c r="K247" s="126" t="s">
        <v>89</v>
      </c>
      <c r="L247" s="126" t="s">
        <v>89</v>
      </c>
      <c r="M247" s="126" t="s">
        <v>89</v>
      </c>
      <c r="N247" s="126">
        <v>41695</v>
      </c>
      <c r="O247" s="126">
        <v>41729</v>
      </c>
      <c r="P247" s="126">
        <v>41749</v>
      </c>
      <c r="Q247" s="129" t="s">
        <v>1384</v>
      </c>
      <c r="R247" s="123"/>
    </row>
    <row r="248" spans="1:18" s="20" customFormat="1" ht="150" x14ac:dyDescent="0.2">
      <c r="A248" s="177" t="s">
        <v>158</v>
      </c>
      <c r="B248" s="143">
        <v>1080581436</v>
      </c>
      <c r="C248" s="143">
        <v>1080581272</v>
      </c>
      <c r="D248" s="143" t="s">
        <v>122</v>
      </c>
      <c r="E248" s="178" t="s">
        <v>940</v>
      </c>
      <c r="F248" s="145" t="s">
        <v>111</v>
      </c>
      <c r="G248" s="146">
        <v>41176</v>
      </c>
      <c r="H248" s="179">
        <v>41400</v>
      </c>
      <c r="I248" s="180">
        <v>-250</v>
      </c>
      <c r="J248" s="146">
        <v>41241</v>
      </c>
      <c r="K248" s="146" t="s">
        <v>89</v>
      </c>
      <c r="L248" s="146" t="s">
        <v>89</v>
      </c>
      <c r="M248" s="146" t="s">
        <v>89</v>
      </c>
      <c r="N248" s="146">
        <v>41332</v>
      </c>
      <c r="O248" s="146" t="s">
        <v>89</v>
      </c>
      <c r="P248" s="126">
        <v>41749</v>
      </c>
      <c r="Q248" s="129" t="s">
        <v>1312</v>
      </c>
      <c r="R248" s="123"/>
    </row>
    <row r="249" spans="1:18" s="20" customFormat="1" ht="150" x14ac:dyDescent="0.2">
      <c r="A249" s="167" t="s">
        <v>159</v>
      </c>
      <c r="B249" s="123">
        <v>1080581478</v>
      </c>
      <c r="C249" s="123">
        <v>1080579782</v>
      </c>
      <c r="D249" s="123" t="s">
        <v>160</v>
      </c>
      <c r="E249" s="159" t="s">
        <v>1083</v>
      </c>
      <c r="F249" s="125" t="s">
        <v>111</v>
      </c>
      <c r="G249" s="126">
        <v>41184</v>
      </c>
      <c r="H249" s="166">
        <v>41487</v>
      </c>
      <c r="I249" s="158">
        <v>-187</v>
      </c>
      <c r="J249" s="126">
        <v>41083</v>
      </c>
      <c r="K249" s="126">
        <v>41575</v>
      </c>
      <c r="L249" s="126" t="s">
        <v>89</v>
      </c>
      <c r="M249" s="126" t="s">
        <v>89</v>
      </c>
      <c r="N249" s="126">
        <v>41648</v>
      </c>
      <c r="O249" s="126">
        <v>41207</v>
      </c>
      <c r="P249" s="126">
        <v>41749</v>
      </c>
      <c r="Q249" s="129" t="s">
        <v>1312</v>
      </c>
      <c r="R249" s="123"/>
    </row>
    <row r="250" spans="1:18" s="20" customFormat="1" ht="90" x14ac:dyDescent="0.2">
      <c r="A250" s="140" t="s">
        <v>1104</v>
      </c>
      <c r="B250" s="123">
        <v>1080583961</v>
      </c>
      <c r="C250" s="123">
        <v>1080583063</v>
      </c>
      <c r="D250" s="123" t="s">
        <v>677</v>
      </c>
      <c r="E250" s="129" t="s">
        <v>1113</v>
      </c>
      <c r="F250" s="125" t="s">
        <v>244</v>
      </c>
      <c r="G250" s="126">
        <v>41586</v>
      </c>
      <c r="H250" s="126">
        <v>41708</v>
      </c>
      <c r="I250" s="158">
        <v>-30</v>
      </c>
      <c r="J250" s="126">
        <v>41669</v>
      </c>
      <c r="K250" s="126" t="s">
        <v>89</v>
      </c>
      <c r="L250" s="126" t="s">
        <v>89</v>
      </c>
      <c r="M250" s="126" t="s">
        <v>89</v>
      </c>
      <c r="N250" s="126">
        <v>41681</v>
      </c>
      <c r="O250" s="126" t="s">
        <v>89</v>
      </c>
      <c r="P250" s="126">
        <v>41749</v>
      </c>
      <c r="Q250" s="129" t="s">
        <v>1327</v>
      </c>
      <c r="R250" s="123"/>
    </row>
    <row r="251" spans="1:18" s="20" customFormat="1" ht="90" x14ac:dyDescent="0.2">
      <c r="A251" s="167" t="s">
        <v>172</v>
      </c>
      <c r="B251" s="123">
        <v>1080581907</v>
      </c>
      <c r="C251" s="123">
        <v>1080580147</v>
      </c>
      <c r="D251" s="123" t="s">
        <v>134</v>
      </c>
      <c r="E251" s="159" t="s">
        <v>904</v>
      </c>
      <c r="F251" s="125" t="s">
        <v>111</v>
      </c>
      <c r="G251" s="126">
        <v>41249</v>
      </c>
      <c r="H251" s="166">
        <v>41610</v>
      </c>
      <c r="I251" s="158">
        <v>-109</v>
      </c>
      <c r="J251" s="126">
        <v>41131</v>
      </c>
      <c r="K251" s="126">
        <v>41610</v>
      </c>
      <c r="L251" s="126" t="s">
        <v>89</v>
      </c>
      <c r="M251" s="126" t="s">
        <v>89</v>
      </c>
      <c r="N251" s="126">
        <v>41383</v>
      </c>
      <c r="O251" s="126" t="s">
        <v>89</v>
      </c>
      <c r="P251" s="126">
        <v>41759</v>
      </c>
      <c r="Q251" s="129" t="s">
        <v>1407</v>
      </c>
      <c r="R251" s="123"/>
    </row>
    <row r="252" spans="1:18" s="20" customFormat="1" ht="120" x14ac:dyDescent="0.2">
      <c r="A252" s="167" t="s">
        <v>179</v>
      </c>
      <c r="B252" s="123">
        <v>1080582000</v>
      </c>
      <c r="C252" s="123">
        <v>1080581948</v>
      </c>
      <c r="D252" s="123" t="s">
        <v>180</v>
      </c>
      <c r="E252" s="159" t="s">
        <v>1059</v>
      </c>
      <c r="F252" s="125" t="s">
        <v>181</v>
      </c>
      <c r="G252" s="126">
        <v>41276</v>
      </c>
      <c r="H252" s="166">
        <v>41520</v>
      </c>
      <c r="I252" s="158">
        <v>-173</v>
      </c>
      <c r="J252" s="126">
        <v>41277</v>
      </c>
      <c r="K252" s="126">
        <v>41486</v>
      </c>
      <c r="L252" s="126" t="s">
        <v>89</v>
      </c>
      <c r="M252" s="126" t="s">
        <v>89</v>
      </c>
      <c r="N252" s="126">
        <v>41751</v>
      </c>
      <c r="O252" s="126" t="s">
        <v>89</v>
      </c>
      <c r="P252" s="126">
        <v>41759</v>
      </c>
      <c r="Q252" s="129" t="s">
        <v>1417</v>
      </c>
      <c r="R252" s="123"/>
    </row>
    <row r="253" spans="1:18" s="20" customFormat="1" ht="90" x14ac:dyDescent="0.2">
      <c r="A253" s="140" t="s">
        <v>1127</v>
      </c>
      <c r="B253" s="123">
        <v>1080584000</v>
      </c>
      <c r="C253" s="123">
        <v>1080583146</v>
      </c>
      <c r="D253" s="123" t="s">
        <v>134</v>
      </c>
      <c r="E253" s="129" t="s">
        <v>1132</v>
      </c>
      <c r="F253" s="125" t="s">
        <v>152</v>
      </c>
      <c r="G253" s="126">
        <v>41594</v>
      </c>
      <c r="H253" s="126">
        <v>41680</v>
      </c>
      <c r="I253" s="158">
        <v>-59</v>
      </c>
      <c r="J253" s="126" t="s">
        <v>89</v>
      </c>
      <c r="K253" s="126" t="s">
        <v>89</v>
      </c>
      <c r="L253" s="126" t="s">
        <v>89</v>
      </c>
      <c r="M253" s="126" t="s">
        <v>89</v>
      </c>
      <c r="N253" s="126">
        <v>41722</v>
      </c>
      <c r="O253" s="126" t="s">
        <v>89</v>
      </c>
      <c r="P253" s="126">
        <v>41759</v>
      </c>
      <c r="Q253" s="129" t="s">
        <v>1319</v>
      </c>
      <c r="R253" s="123"/>
    </row>
    <row r="254" spans="1:18" s="20" customFormat="1" ht="120" x14ac:dyDescent="0.2">
      <c r="A254" s="140" t="s">
        <v>1135</v>
      </c>
      <c r="B254" s="123">
        <v>1080584008</v>
      </c>
      <c r="C254" s="123">
        <v>1080583029</v>
      </c>
      <c r="D254" s="123" t="s">
        <v>134</v>
      </c>
      <c r="E254" s="129" t="s">
        <v>1139</v>
      </c>
      <c r="F254" s="125" t="s">
        <v>111</v>
      </c>
      <c r="G254" s="126">
        <v>41596</v>
      </c>
      <c r="H254" s="126">
        <v>41687</v>
      </c>
      <c r="I254" s="158">
        <v>-54</v>
      </c>
      <c r="J254" s="126" t="s">
        <v>89</v>
      </c>
      <c r="K254" s="126">
        <v>41597</v>
      </c>
      <c r="L254" s="126" t="s">
        <v>89</v>
      </c>
      <c r="M254" s="126" t="s">
        <v>89</v>
      </c>
      <c r="N254" s="126">
        <v>41597</v>
      </c>
      <c r="O254" s="126">
        <v>41754</v>
      </c>
      <c r="P254" s="126">
        <v>41759</v>
      </c>
      <c r="Q254" s="129" t="s">
        <v>1424</v>
      </c>
      <c r="R254" s="123"/>
    </row>
    <row r="255" spans="1:18" s="20" customFormat="1" ht="180" x14ac:dyDescent="0.2">
      <c r="A255" s="167" t="s">
        <v>202</v>
      </c>
      <c r="B255" s="123">
        <v>1080582695</v>
      </c>
      <c r="C255" s="123">
        <v>1080581411</v>
      </c>
      <c r="D255" s="123" t="s">
        <v>134</v>
      </c>
      <c r="E255" s="159" t="s">
        <v>1093</v>
      </c>
      <c r="F255" s="125" t="s">
        <v>203</v>
      </c>
      <c r="G255" s="126">
        <v>41388</v>
      </c>
      <c r="H255" s="166">
        <v>41439</v>
      </c>
      <c r="I255" s="158">
        <v>-235</v>
      </c>
      <c r="J255" s="126" t="s">
        <v>89</v>
      </c>
      <c r="K255" s="126">
        <v>41661</v>
      </c>
      <c r="L255" s="126" t="s">
        <v>89</v>
      </c>
      <c r="M255" s="126" t="s">
        <v>89</v>
      </c>
      <c r="N255" s="126">
        <v>41578</v>
      </c>
      <c r="O255" s="126">
        <v>41647</v>
      </c>
      <c r="P255" s="126">
        <v>41765</v>
      </c>
      <c r="Q255" s="129" t="s">
        <v>1407</v>
      </c>
      <c r="R255" s="123"/>
    </row>
    <row r="256" spans="1:18" s="20" customFormat="1" ht="135" x14ac:dyDescent="0.2">
      <c r="A256" s="140" t="s">
        <v>1166</v>
      </c>
      <c r="B256" s="123">
        <v>1080584096</v>
      </c>
      <c r="C256" s="123">
        <v>1080583427</v>
      </c>
      <c r="D256" s="123" t="s">
        <v>134</v>
      </c>
      <c r="E256" s="129" t="s">
        <v>1169</v>
      </c>
      <c r="F256" s="125" t="s">
        <v>639</v>
      </c>
      <c r="G256" s="126">
        <v>41609</v>
      </c>
      <c r="H256" s="126">
        <v>41666</v>
      </c>
      <c r="I256" s="158">
        <v>-74</v>
      </c>
      <c r="J256" s="126" t="s">
        <v>89</v>
      </c>
      <c r="K256" s="126" t="s">
        <v>89</v>
      </c>
      <c r="L256" s="126" t="s">
        <v>89</v>
      </c>
      <c r="M256" s="126" t="s">
        <v>89</v>
      </c>
      <c r="N256" s="126">
        <v>41760</v>
      </c>
      <c r="O256" s="126" t="s">
        <v>89</v>
      </c>
      <c r="P256" s="126">
        <v>41765</v>
      </c>
      <c r="Q256" s="129" t="s">
        <v>1429</v>
      </c>
      <c r="R256" s="123"/>
    </row>
    <row r="257" spans="1:18" s="20" customFormat="1" ht="90" x14ac:dyDescent="0.2">
      <c r="A257" s="140" t="s">
        <v>1254</v>
      </c>
      <c r="B257" s="123">
        <v>1080584331</v>
      </c>
      <c r="C257" s="123">
        <v>1080584118</v>
      </c>
      <c r="D257" s="123" t="s">
        <v>110</v>
      </c>
      <c r="E257" s="129" t="s">
        <v>1256</v>
      </c>
      <c r="F257" s="125" t="s">
        <v>174</v>
      </c>
      <c r="G257" s="126">
        <v>41665</v>
      </c>
      <c r="H257" s="126">
        <v>41743</v>
      </c>
      <c r="I257" s="158">
        <v>-19</v>
      </c>
      <c r="J257" s="126" t="s">
        <v>89</v>
      </c>
      <c r="K257" s="126" t="s">
        <v>89</v>
      </c>
      <c r="L257" s="126" t="s">
        <v>89</v>
      </c>
      <c r="M257" s="126" t="s">
        <v>89</v>
      </c>
      <c r="N257" s="126">
        <v>41731</v>
      </c>
      <c r="O257" s="126" t="s">
        <v>89</v>
      </c>
      <c r="P257" s="126">
        <v>41765</v>
      </c>
      <c r="Q257" s="129" t="s">
        <v>1390</v>
      </c>
      <c r="R257" s="123"/>
    </row>
    <row r="258" spans="1:18" s="20" customFormat="1" ht="135" x14ac:dyDescent="0.2">
      <c r="A258" s="140" t="s">
        <v>1259</v>
      </c>
      <c r="B258" s="123">
        <v>1080584362</v>
      </c>
      <c r="C258" s="123">
        <v>1080583807</v>
      </c>
      <c r="D258" s="123" t="s">
        <v>265</v>
      </c>
      <c r="E258" s="129" t="s">
        <v>1268</v>
      </c>
      <c r="F258" s="125" t="s">
        <v>152</v>
      </c>
      <c r="G258" s="126">
        <v>41668</v>
      </c>
      <c r="H258" s="126">
        <v>41715</v>
      </c>
      <c r="I258" s="158">
        <v>-39</v>
      </c>
      <c r="J258" s="126" t="s">
        <v>89</v>
      </c>
      <c r="K258" s="126" t="s">
        <v>89</v>
      </c>
      <c r="L258" s="126" t="s">
        <v>89</v>
      </c>
      <c r="M258" s="126" t="s">
        <v>89</v>
      </c>
      <c r="N258" s="126">
        <v>41680</v>
      </c>
      <c r="O258" s="126" t="s">
        <v>89</v>
      </c>
      <c r="P258" s="126">
        <v>41765</v>
      </c>
      <c r="Q258" s="129" t="s">
        <v>1390</v>
      </c>
      <c r="R258" s="123"/>
    </row>
    <row r="259" spans="1:18" s="20" customFormat="1" ht="75" x14ac:dyDescent="0.2">
      <c r="A259" s="140" t="s">
        <v>1296</v>
      </c>
      <c r="B259" s="123">
        <v>1080584461</v>
      </c>
      <c r="C259" s="123">
        <v>1080584310</v>
      </c>
      <c r="D259" s="123" t="s">
        <v>201</v>
      </c>
      <c r="E259" s="129" t="s">
        <v>1300</v>
      </c>
      <c r="F259" s="125" t="s">
        <v>294</v>
      </c>
      <c r="G259" s="126">
        <v>41686</v>
      </c>
      <c r="H259" s="126">
        <v>41743</v>
      </c>
      <c r="I259" s="158">
        <v>-19</v>
      </c>
      <c r="J259" s="126" t="s">
        <v>89</v>
      </c>
      <c r="K259" s="126" t="s">
        <v>89</v>
      </c>
      <c r="L259" s="126" t="s">
        <v>89</v>
      </c>
      <c r="M259" s="126" t="s">
        <v>89</v>
      </c>
      <c r="N259" s="126">
        <v>41731</v>
      </c>
      <c r="O259" s="126" t="s">
        <v>89</v>
      </c>
      <c r="P259" s="126">
        <v>41765</v>
      </c>
      <c r="Q259" s="129" t="s">
        <v>1429</v>
      </c>
      <c r="R259" s="123"/>
    </row>
    <row r="260" spans="1:18" s="20" customFormat="1" ht="105" x14ac:dyDescent="0.2">
      <c r="A260" s="167" t="s">
        <v>162</v>
      </c>
      <c r="B260" s="123">
        <v>1080581499</v>
      </c>
      <c r="C260" s="123">
        <v>1080581220</v>
      </c>
      <c r="D260" s="123" t="s">
        <v>163</v>
      </c>
      <c r="E260" s="159" t="s">
        <v>930</v>
      </c>
      <c r="F260" s="125" t="s">
        <v>111</v>
      </c>
      <c r="G260" s="126">
        <v>41190</v>
      </c>
      <c r="H260" s="166">
        <v>41428</v>
      </c>
      <c r="I260" s="158">
        <v>-245</v>
      </c>
      <c r="J260" s="126">
        <v>41192</v>
      </c>
      <c r="K260" s="126">
        <v>41582</v>
      </c>
      <c r="L260" s="126">
        <v>41200</v>
      </c>
      <c r="M260" s="126" t="s">
        <v>89</v>
      </c>
      <c r="N260" s="126">
        <v>41711</v>
      </c>
      <c r="O260" s="126" t="s">
        <v>89</v>
      </c>
      <c r="P260" s="126">
        <v>41768</v>
      </c>
      <c r="Q260" s="129" t="s">
        <v>1384</v>
      </c>
      <c r="R260" s="123"/>
    </row>
    <row r="261" spans="1:18" s="20" customFormat="1" ht="255" x14ac:dyDescent="0.2">
      <c r="A261" s="167" t="s">
        <v>209</v>
      </c>
      <c r="B261" s="123">
        <v>1080582779</v>
      </c>
      <c r="C261" s="123">
        <v>1080581994</v>
      </c>
      <c r="D261" s="123" t="s">
        <v>131</v>
      </c>
      <c r="E261" s="159" t="s">
        <v>931</v>
      </c>
      <c r="F261" s="125" t="s">
        <v>210</v>
      </c>
      <c r="G261" s="126">
        <v>41401</v>
      </c>
      <c r="H261" s="166">
        <v>41596</v>
      </c>
      <c r="I261" s="158">
        <v>-125</v>
      </c>
      <c r="J261" s="126">
        <v>41589</v>
      </c>
      <c r="K261" s="126">
        <v>41383</v>
      </c>
      <c r="L261" s="126" t="s">
        <v>89</v>
      </c>
      <c r="M261" s="126" t="s">
        <v>89</v>
      </c>
      <c r="N261" s="126">
        <v>41354</v>
      </c>
      <c r="O261" s="126" t="s">
        <v>89</v>
      </c>
      <c r="P261" s="126">
        <v>41768</v>
      </c>
      <c r="Q261" s="129" t="s">
        <v>1434</v>
      </c>
      <c r="R261" s="123"/>
    </row>
    <row r="262" spans="1:18" s="20" customFormat="1" ht="105" x14ac:dyDescent="0.2">
      <c r="A262" s="140" t="s">
        <v>1270</v>
      </c>
      <c r="B262" s="123">
        <v>1080584381</v>
      </c>
      <c r="C262" s="123">
        <v>1080583213</v>
      </c>
      <c r="D262" s="123" t="s">
        <v>201</v>
      </c>
      <c r="E262" s="129" t="s">
        <v>1273</v>
      </c>
      <c r="F262" s="125" t="s">
        <v>294</v>
      </c>
      <c r="G262" s="126">
        <v>41670</v>
      </c>
      <c r="H262" s="126">
        <v>41715</v>
      </c>
      <c r="I262" s="158">
        <v>-40</v>
      </c>
      <c r="J262" s="126" t="s">
        <v>89</v>
      </c>
      <c r="K262" s="126" t="s">
        <v>89</v>
      </c>
      <c r="L262" s="126" t="s">
        <v>89</v>
      </c>
      <c r="M262" s="126" t="s">
        <v>89</v>
      </c>
      <c r="N262" s="126">
        <v>41680</v>
      </c>
      <c r="O262" s="126" t="s">
        <v>89</v>
      </c>
      <c r="P262" s="126">
        <v>41768</v>
      </c>
      <c r="Q262" s="129" t="s">
        <v>1391</v>
      </c>
      <c r="R262" s="123"/>
    </row>
    <row r="263" spans="1:18" s="20" customFormat="1" ht="240" x14ac:dyDescent="0.2">
      <c r="A263" s="167" t="s">
        <v>264</v>
      </c>
      <c r="B263" s="123">
        <v>1080583022</v>
      </c>
      <c r="C263" s="123">
        <v>1080582042</v>
      </c>
      <c r="D263" s="123" t="s">
        <v>265</v>
      </c>
      <c r="E263" s="159" t="s">
        <v>915</v>
      </c>
      <c r="F263" s="125" t="s">
        <v>266</v>
      </c>
      <c r="G263" s="126">
        <v>41443</v>
      </c>
      <c r="H263" s="166">
        <v>41555</v>
      </c>
      <c r="I263" s="158">
        <v>-163</v>
      </c>
      <c r="J263" s="126">
        <v>41542</v>
      </c>
      <c r="K263" s="126">
        <v>41456</v>
      </c>
      <c r="L263" s="126" t="s">
        <v>89</v>
      </c>
      <c r="M263" s="126" t="s">
        <v>89</v>
      </c>
      <c r="N263" s="126">
        <v>41652</v>
      </c>
      <c r="O263" s="126" t="s">
        <v>89</v>
      </c>
      <c r="P263" s="126">
        <v>41780</v>
      </c>
      <c r="Q263" s="129" t="s">
        <v>1407</v>
      </c>
      <c r="R263" s="123"/>
    </row>
    <row r="264" spans="1:18" s="20" customFormat="1" ht="120" x14ac:dyDescent="0.2">
      <c r="A264" s="167" t="s">
        <v>324</v>
      </c>
      <c r="B264" s="123">
        <v>1080583272</v>
      </c>
      <c r="C264" s="123">
        <v>1080582410</v>
      </c>
      <c r="D264" s="123" t="s">
        <v>254</v>
      </c>
      <c r="E264" s="159" t="s">
        <v>957</v>
      </c>
      <c r="F264" s="125" t="s">
        <v>325</v>
      </c>
      <c r="G264" s="126">
        <v>41485</v>
      </c>
      <c r="H264" s="166">
        <v>41530</v>
      </c>
      <c r="I264" s="158">
        <v>-180</v>
      </c>
      <c r="J264" s="126">
        <v>41442</v>
      </c>
      <c r="K264" s="126" t="s">
        <v>89</v>
      </c>
      <c r="L264" s="126" t="s">
        <v>89</v>
      </c>
      <c r="M264" s="126" t="s">
        <v>89</v>
      </c>
      <c r="N264" s="126">
        <v>41564</v>
      </c>
      <c r="O264" s="126" t="s">
        <v>89</v>
      </c>
      <c r="P264" s="126">
        <v>41780</v>
      </c>
      <c r="Q264" s="129" t="s">
        <v>1372</v>
      </c>
      <c r="R264" s="123"/>
    </row>
    <row r="265" spans="1:18" s="20" customFormat="1" ht="165" x14ac:dyDescent="0.2">
      <c r="A265" s="140" t="s">
        <v>1126</v>
      </c>
      <c r="B265" s="123">
        <v>1080583999</v>
      </c>
      <c r="C265" s="123" t="s">
        <v>1130</v>
      </c>
      <c r="D265" s="123" t="s">
        <v>276</v>
      </c>
      <c r="E265" s="129" t="s">
        <v>1131</v>
      </c>
      <c r="F265" s="125" t="s">
        <v>277</v>
      </c>
      <c r="G265" s="126">
        <v>41594</v>
      </c>
      <c r="H265" s="126">
        <v>41680</v>
      </c>
      <c r="I265" s="158">
        <v>-74</v>
      </c>
      <c r="J265" s="126" t="s">
        <v>89</v>
      </c>
      <c r="K265" s="126">
        <v>41696</v>
      </c>
      <c r="L265" s="126" t="s">
        <v>89</v>
      </c>
      <c r="M265" s="126" t="s">
        <v>89</v>
      </c>
      <c r="N265" s="126">
        <v>41774</v>
      </c>
      <c r="O265" s="126">
        <v>41722</v>
      </c>
      <c r="P265" s="126">
        <v>41780</v>
      </c>
      <c r="Q265" s="129" t="s">
        <v>1447</v>
      </c>
      <c r="R265" s="123"/>
    </row>
    <row r="266" spans="1:18" s="20" customFormat="1" ht="120" x14ac:dyDescent="0.2">
      <c r="A266" s="140" t="s">
        <v>1129</v>
      </c>
      <c r="B266" s="123">
        <v>1080584002</v>
      </c>
      <c r="C266" s="123">
        <v>1080582918</v>
      </c>
      <c r="D266" s="123" t="s">
        <v>102</v>
      </c>
      <c r="E266" s="129" t="s">
        <v>1134</v>
      </c>
      <c r="F266" s="125" t="s">
        <v>418</v>
      </c>
      <c r="G266" s="126">
        <v>41594</v>
      </c>
      <c r="H266" s="126">
        <v>41687</v>
      </c>
      <c r="I266" s="158">
        <v>-69</v>
      </c>
      <c r="J266" s="126" t="s">
        <v>89</v>
      </c>
      <c r="K266" s="126" t="s">
        <v>89</v>
      </c>
      <c r="L266" s="126">
        <v>41609</v>
      </c>
      <c r="M266" s="126" t="s">
        <v>89</v>
      </c>
      <c r="N266" s="126" t="s">
        <v>89</v>
      </c>
      <c r="O266" s="126" t="s">
        <v>89</v>
      </c>
      <c r="P266" s="126">
        <v>41778</v>
      </c>
      <c r="Q266" s="129" t="s">
        <v>1436</v>
      </c>
      <c r="R266" s="123"/>
    </row>
    <row r="267" spans="1:18" s="20" customFormat="1" ht="90" x14ac:dyDescent="0.2">
      <c r="A267" s="140" t="s">
        <v>1179</v>
      </c>
      <c r="B267" s="123">
        <v>1080584144</v>
      </c>
      <c r="C267" s="123">
        <v>1080583794</v>
      </c>
      <c r="D267" s="123" t="s">
        <v>1010</v>
      </c>
      <c r="E267" s="129" t="s">
        <v>1189</v>
      </c>
      <c r="F267" s="125" t="s">
        <v>335</v>
      </c>
      <c r="G267" s="126">
        <v>41617</v>
      </c>
      <c r="H267" s="126">
        <v>41708</v>
      </c>
      <c r="I267" s="158">
        <v>-54</v>
      </c>
      <c r="J267" s="126" t="s">
        <v>89</v>
      </c>
      <c r="K267" s="126">
        <v>41698</v>
      </c>
      <c r="L267" s="126" t="s">
        <v>89</v>
      </c>
      <c r="M267" s="126" t="s">
        <v>89</v>
      </c>
      <c r="N267" s="126">
        <v>41736</v>
      </c>
      <c r="O267" s="126">
        <v>41733</v>
      </c>
      <c r="P267" s="126">
        <v>41778</v>
      </c>
      <c r="Q267" s="129" t="s">
        <v>1396</v>
      </c>
      <c r="R267" s="123"/>
    </row>
    <row r="268" spans="1:18" s="20" customFormat="1" ht="90" x14ac:dyDescent="0.2">
      <c r="A268" s="140" t="s">
        <v>1181</v>
      </c>
      <c r="B268" s="123">
        <v>1080584152</v>
      </c>
      <c r="C268" s="123">
        <v>1080583639</v>
      </c>
      <c r="D268" s="123" t="s">
        <v>537</v>
      </c>
      <c r="E268" s="129" t="s">
        <v>1191</v>
      </c>
      <c r="F268" s="125" t="s">
        <v>1192</v>
      </c>
      <c r="G268" s="126">
        <v>41619</v>
      </c>
      <c r="H268" s="126">
        <v>41745</v>
      </c>
      <c r="I268" s="158">
        <v>-27</v>
      </c>
      <c r="J268" s="126" t="s">
        <v>89</v>
      </c>
      <c r="K268" s="126">
        <v>41689</v>
      </c>
      <c r="L268" s="126" t="s">
        <v>89</v>
      </c>
      <c r="M268" s="126" t="s">
        <v>89</v>
      </c>
      <c r="N268" s="126">
        <v>41712</v>
      </c>
      <c r="O268" s="126">
        <v>41696</v>
      </c>
      <c r="P268" s="126">
        <v>41778</v>
      </c>
      <c r="Q268" s="129" t="s">
        <v>1409</v>
      </c>
      <c r="R268" s="123"/>
    </row>
    <row r="269" spans="1:18" s="20" customFormat="1" ht="135" x14ac:dyDescent="0.2">
      <c r="A269" s="140" t="s">
        <v>1204</v>
      </c>
      <c r="B269" s="123">
        <v>1080584186</v>
      </c>
      <c r="C269" s="123">
        <v>1080584097</v>
      </c>
      <c r="D269" s="123" t="s">
        <v>102</v>
      </c>
      <c r="E269" s="129" t="s">
        <v>1174</v>
      </c>
      <c r="F269" s="125" t="s">
        <v>103</v>
      </c>
      <c r="G269" s="126">
        <v>41630</v>
      </c>
      <c r="H269" s="126">
        <v>41718</v>
      </c>
      <c r="I269" s="158">
        <v>-46</v>
      </c>
      <c r="J269" s="126">
        <v>41689</v>
      </c>
      <c r="K269" s="126" t="s">
        <v>89</v>
      </c>
      <c r="L269" s="126" t="s">
        <v>89</v>
      </c>
      <c r="M269" s="126" t="s">
        <v>89</v>
      </c>
      <c r="N269" s="126" t="s">
        <v>89</v>
      </c>
      <c r="O269" s="126" t="s">
        <v>89</v>
      </c>
      <c r="P269" s="126">
        <v>41778</v>
      </c>
      <c r="Q269" s="129" t="s">
        <v>1401</v>
      </c>
      <c r="R269" s="123"/>
    </row>
    <row r="270" spans="1:18" s="20" customFormat="1" ht="150" x14ac:dyDescent="0.2">
      <c r="A270" s="140" t="s">
        <v>1234</v>
      </c>
      <c r="B270" s="123">
        <v>1080584244</v>
      </c>
      <c r="C270" s="123">
        <v>1080583582</v>
      </c>
      <c r="D270" s="123" t="s">
        <v>134</v>
      </c>
      <c r="E270" s="129" t="s">
        <v>1236</v>
      </c>
      <c r="F270" s="125" t="s">
        <v>255</v>
      </c>
      <c r="G270" s="126">
        <v>41649</v>
      </c>
      <c r="H270" s="126">
        <v>41708</v>
      </c>
      <c r="I270" s="158">
        <v>-54</v>
      </c>
      <c r="J270" s="126">
        <v>41660</v>
      </c>
      <c r="K270" s="126" t="s">
        <v>89</v>
      </c>
      <c r="L270" s="126" t="s">
        <v>89</v>
      </c>
      <c r="M270" s="126" t="s">
        <v>89</v>
      </c>
      <c r="N270" s="126">
        <v>41680</v>
      </c>
      <c r="O270" s="126" t="s">
        <v>89</v>
      </c>
      <c r="P270" s="126">
        <v>41778</v>
      </c>
      <c r="Q270" s="129" t="s">
        <v>1345</v>
      </c>
      <c r="R270" s="123"/>
    </row>
    <row r="271" spans="1:18" s="20" customFormat="1" ht="90" x14ac:dyDescent="0.2">
      <c r="A271" s="140" t="s">
        <v>1258</v>
      </c>
      <c r="B271" s="123">
        <v>1080584361</v>
      </c>
      <c r="C271" s="123">
        <v>1080583735</v>
      </c>
      <c r="D271" s="123" t="s">
        <v>1161</v>
      </c>
      <c r="E271" s="129" t="s">
        <v>1267</v>
      </c>
      <c r="F271" s="125" t="s">
        <v>103</v>
      </c>
      <c r="G271" s="126">
        <v>41668</v>
      </c>
      <c r="H271" s="126">
        <v>41715</v>
      </c>
      <c r="I271" s="158">
        <v>-49</v>
      </c>
      <c r="J271" s="126" t="s">
        <v>89</v>
      </c>
      <c r="K271" s="126" t="s">
        <v>89</v>
      </c>
      <c r="L271" s="126" t="s">
        <v>89</v>
      </c>
      <c r="M271" s="126" t="s">
        <v>89</v>
      </c>
      <c r="N271" s="126">
        <v>41774</v>
      </c>
      <c r="O271" s="126" t="s">
        <v>89</v>
      </c>
      <c r="P271" s="126">
        <v>41778</v>
      </c>
      <c r="Q271" s="129" t="s">
        <v>1448</v>
      </c>
      <c r="R271" s="123"/>
    </row>
    <row r="272" spans="1:18" s="20" customFormat="1" ht="105" x14ac:dyDescent="0.2">
      <c r="A272" s="140" t="s">
        <v>1288</v>
      </c>
      <c r="B272" s="123">
        <v>1080584442</v>
      </c>
      <c r="C272" s="123">
        <v>1080584215</v>
      </c>
      <c r="D272" s="123" t="s">
        <v>1118</v>
      </c>
      <c r="E272" s="129" t="s">
        <v>1294</v>
      </c>
      <c r="F272" s="125" t="s">
        <v>1214</v>
      </c>
      <c r="G272" s="126">
        <v>41682</v>
      </c>
      <c r="H272" s="126">
        <v>41771</v>
      </c>
      <c r="I272" s="158">
        <v>-9</v>
      </c>
      <c r="J272" s="126" t="s">
        <v>89</v>
      </c>
      <c r="K272" s="126">
        <v>41695</v>
      </c>
      <c r="L272" s="126" t="s">
        <v>89</v>
      </c>
      <c r="M272" s="126" t="s">
        <v>89</v>
      </c>
      <c r="N272" s="126">
        <v>41764</v>
      </c>
      <c r="O272" s="126">
        <v>41755</v>
      </c>
      <c r="P272" s="126">
        <v>41778</v>
      </c>
      <c r="Q272" s="129" t="s">
        <v>1437</v>
      </c>
      <c r="R272" s="123"/>
    </row>
    <row r="273" spans="1:18" s="20" customFormat="1" ht="75" x14ac:dyDescent="0.2">
      <c r="A273" s="140" t="s">
        <v>1295</v>
      </c>
      <c r="B273" s="123">
        <v>1080584459</v>
      </c>
      <c r="C273" s="123">
        <v>1080583418</v>
      </c>
      <c r="D273" s="123" t="s">
        <v>1122</v>
      </c>
      <c r="E273" s="129" t="s">
        <v>1298</v>
      </c>
      <c r="F273" s="125" t="s">
        <v>1299</v>
      </c>
      <c r="G273" s="126">
        <v>41684</v>
      </c>
      <c r="H273" s="126">
        <v>41736</v>
      </c>
      <c r="I273" s="158">
        <v>-34</v>
      </c>
      <c r="J273" s="126" t="s">
        <v>89</v>
      </c>
      <c r="K273" s="126" t="s">
        <v>89</v>
      </c>
      <c r="L273" s="126" t="s">
        <v>89</v>
      </c>
      <c r="M273" s="126" t="s">
        <v>89</v>
      </c>
      <c r="N273" s="126">
        <v>41731</v>
      </c>
      <c r="O273" s="126" t="s">
        <v>89</v>
      </c>
      <c r="P273" s="126">
        <v>41778</v>
      </c>
      <c r="Q273" s="129" t="s">
        <v>1429</v>
      </c>
      <c r="R273" s="123"/>
    </row>
    <row r="274" spans="1:18" s="20" customFormat="1" ht="150" x14ac:dyDescent="0.2">
      <c r="A274" s="140" t="s">
        <v>1321</v>
      </c>
      <c r="B274" s="123">
        <v>1080584568</v>
      </c>
      <c r="C274" s="123">
        <v>1080583274</v>
      </c>
      <c r="D274" s="123" t="s">
        <v>201</v>
      </c>
      <c r="E274" s="129" t="s">
        <v>1323</v>
      </c>
      <c r="F274" s="125" t="s">
        <v>294</v>
      </c>
      <c r="G274" s="126">
        <v>41699</v>
      </c>
      <c r="H274" s="126">
        <v>41740</v>
      </c>
      <c r="I274" s="158">
        <v>-30</v>
      </c>
      <c r="J274" s="126" t="s">
        <v>89</v>
      </c>
      <c r="K274" s="126" t="s">
        <v>89</v>
      </c>
      <c r="L274" s="126" t="s">
        <v>89</v>
      </c>
      <c r="M274" s="126" t="s">
        <v>89</v>
      </c>
      <c r="N274" s="126">
        <v>41731</v>
      </c>
      <c r="O274" s="126" t="s">
        <v>89</v>
      </c>
      <c r="P274" s="126">
        <v>41778</v>
      </c>
      <c r="Q274" s="129" t="s">
        <v>1430</v>
      </c>
      <c r="R274" s="123"/>
    </row>
    <row r="275" spans="1:18" s="20" customFormat="1" ht="90" x14ac:dyDescent="0.2">
      <c r="A275" s="167" t="s">
        <v>147</v>
      </c>
      <c r="B275" s="123">
        <v>1080581278</v>
      </c>
      <c r="C275" s="123">
        <v>1080580863</v>
      </c>
      <c r="D275" s="123" t="s">
        <v>148</v>
      </c>
      <c r="E275" s="159" t="s">
        <v>973</v>
      </c>
      <c r="F275" s="125" t="s">
        <v>111</v>
      </c>
      <c r="G275" s="126">
        <v>41156</v>
      </c>
      <c r="H275" s="166">
        <v>41218</v>
      </c>
      <c r="I275" s="158">
        <v>-486</v>
      </c>
      <c r="J275" s="126" t="s">
        <v>1654</v>
      </c>
      <c r="K275" s="126" t="s">
        <v>1655</v>
      </c>
      <c r="L275" s="126" t="s">
        <v>1656</v>
      </c>
      <c r="M275" s="126" t="s">
        <v>89</v>
      </c>
      <c r="N275" s="126" t="s">
        <v>149</v>
      </c>
      <c r="O275" s="126" t="s">
        <v>90</v>
      </c>
      <c r="P275" s="126">
        <v>41895</v>
      </c>
      <c r="Q275" s="129" t="s">
        <v>1496</v>
      </c>
      <c r="R275" s="123"/>
    </row>
    <row r="276" spans="1:18" s="20" customFormat="1" ht="255" x14ac:dyDescent="0.2">
      <c r="A276" s="167" t="s">
        <v>212</v>
      </c>
      <c r="B276" s="123">
        <v>1080582787</v>
      </c>
      <c r="C276" s="123">
        <v>1080579620</v>
      </c>
      <c r="D276" s="123" t="s">
        <v>199</v>
      </c>
      <c r="E276" s="159" t="s">
        <v>1443</v>
      </c>
      <c r="F276" s="125" t="s">
        <v>135</v>
      </c>
      <c r="G276" s="126">
        <v>41402</v>
      </c>
      <c r="H276" s="166">
        <v>41523</v>
      </c>
      <c r="I276" s="158">
        <v>-267</v>
      </c>
      <c r="J276" s="126">
        <v>41024</v>
      </c>
      <c r="K276" s="126" t="s">
        <v>89</v>
      </c>
      <c r="L276" s="126" t="s">
        <v>89</v>
      </c>
      <c r="M276" s="126" t="s">
        <v>89</v>
      </c>
      <c r="N276" s="126">
        <v>41774</v>
      </c>
      <c r="O276" s="126" t="s">
        <v>89</v>
      </c>
      <c r="P276" s="126">
        <v>41895</v>
      </c>
      <c r="Q276" s="129" t="s">
        <v>1444</v>
      </c>
      <c r="R276" s="123"/>
    </row>
    <row r="277" spans="1:18" s="20" customFormat="1" ht="90" x14ac:dyDescent="0.2">
      <c r="A277" s="167" t="s">
        <v>220</v>
      </c>
      <c r="B277" s="123">
        <v>1080582824</v>
      </c>
      <c r="C277" s="123">
        <v>1080580361</v>
      </c>
      <c r="D277" s="123" t="s">
        <v>221</v>
      </c>
      <c r="E277" s="159" t="s">
        <v>1531</v>
      </c>
      <c r="F277" s="125" t="s">
        <v>135</v>
      </c>
      <c r="G277" s="126">
        <v>41408</v>
      </c>
      <c r="H277" s="166">
        <v>41523</v>
      </c>
      <c r="I277" s="158">
        <v>-267</v>
      </c>
      <c r="J277" s="126">
        <v>41024</v>
      </c>
      <c r="K277" s="126" t="s">
        <v>89</v>
      </c>
      <c r="L277" s="126" t="s">
        <v>89</v>
      </c>
      <c r="M277" s="126" t="s">
        <v>89</v>
      </c>
      <c r="N277" s="126">
        <v>41885</v>
      </c>
      <c r="O277" s="126" t="s">
        <v>89</v>
      </c>
      <c r="P277" s="126">
        <v>41895</v>
      </c>
      <c r="Q277" s="129" t="s">
        <v>1611</v>
      </c>
      <c r="R277" s="159" t="s">
        <v>1602</v>
      </c>
    </row>
    <row r="278" spans="1:18" s="20" customFormat="1" ht="120" x14ac:dyDescent="0.2">
      <c r="A278" s="167" t="s">
        <v>251</v>
      </c>
      <c r="B278" s="123">
        <v>1080582929</v>
      </c>
      <c r="C278" s="123">
        <v>1080581730</v>
      </c>
      <c r="D278" s="123" t="s">
        <v>102</v>
      </c>
      <c r="E278" s="159" t="s">
        <v>1037</v>
      </c>
      <c r="F278" s="125" t="s">
        <v>111</v>
      </c>
      <c r="G278" s="126">
        <v>41429</v>
      </c>
      <c r="H278" s="166">
        <v>41498</v>
      </c>
      <c r="I278" s="158">
        <v>-286</v>
      </c>
      <c r="J278" s="126">
        <v>41486</v>
      </c>
      <c r="K278" s="126" t="s">
        <v>89</v>
      </c>
      <c r="L278" s="126" t="s">
        <v>89</v>
      </c>
      <c r="M278" s="126" t="s">
        <v>89</v>
      </c>
      <c r="N278" s="126" t="s">
        <v>1657</v>
      </c>
      <c r="O278" s="126" t="s">
        <v>1658</v>
      </c>
      <c r="P278" s="126">
        <v>41894</v>
      </c>
      <c r="Q278" s="129" t="s">
        <v>1483</v>
      </c>
      <c r="R278" s="123"/>
    </row>
    <row r="279" spans="1:18" s="20" customFormat="1" ht="60" x14ac:dyDescent="0.2">
      <c r="A279" s="167" t="s">
        <v>267</v>
      </c>
      <c r="B279" s="123">
        <v>1080583025</v>
      </c>
      <c r="C279" s="123">
        <v>1080582955</v>
      </c>
      <c r="D279" s="123" t="s">
        <v>268</v>
      </c>
      <c r="E279" s="159" t="s">
        <v>1154</v>
      </c>
      <c r="F279" s="125" t="s">
        <v>181</v>
      </c>
      <c r="G279" s="126">
        <v>41443</v>
      </c>
      <c r="H279" s="166">
        <v>41470</v>
      </c>
      <c r="I279" s="158">
        <v>-306</v>
      </c>
      <c r="J279" s="126">
        <v>41438</v>
      </c>
      <c r="K279" s="126">
        <v>41480</v>
      </c>
      <c r="L279" s="126">
        <v>41470</v>
      </c>
      <c r="M279" s="126" t="s">
        <v>89</v>
      </c>
      <c r="N279" s="126">
        <v>41694</v>
      </c>
      <c r="O279" s="126" t="s">
        <v>89</v>
      </c>
      <c r="P279" s="126">
        <v>41895</v>
      </c>
      <c r="Q279" s="129" t="s">
        <v>1464</v>
      </c>
      <c r="R279" s="123"/>
    </row>
    <row r="280" spans="1:18" s="20" customFormat="1" ht="135" x14ac:dyDescent="0.2">
      <c r="A280" s="167" t="s">
        <v>308</v>
      </c>
      <c r="B280" s="123">
        <v>1080583225</v>
      </c>
      <c r="C280" s="123">
        <v>1080582349</v>
      </c>
      <c r="D280" s="123" t="s">
        <v>307</v>
      </c>
      <c r="E280" s="159" t="s">
        <v>1021</v>
      </c>
      <c r="F280" s="125" t="s">
        <v>309</v>
      </c>
      <c r="G280" s="126">
        <v>41480</v>
      </c>
      <c r="H280" s="166">
        <v>41530</v>
      </c>
      <c r="I280" s="158">
        <v>-262</v>
      </c>
      <c r="J280" s="126" t="s">
        <v>89</v>
      </c>
      <c r="K280" s="126" t="s">
        <v>89</v>
      </c>
      <c r="L280" s="126" t="s">
        <v>89</v>
      </c>
      <c r="M280" s="126" t="s">
        <v>89</v>
      </c>
      <c r="N280" s="126">
        <v>41774</v>
      </c>
      <c r="O280" s="126" t="s">
        <v>89</v>
      </c>
      <c r="P280" s="126">
        <v>41895</v>
      </c>
      <c r="Q280" s="129" t="s">
        <v>1446</v>
      </c>
      <c r="R280" s="123"/>
    </row>
    <row r="281" spans="1:18" s="20" customFormat="1" ht="105" x14ac:dyDescent="0.2">
      <c r="A281" s="140" t="s">
        <v>1004</v>
      </c>
      <c r="B281" s="123">
        <v>1080583647</v>
      </c>
      <c r="C281" s="123">
        <v>1080583030</v>
      </c>
      <c r="D281" s="123" t="s">
        <v>134</v>
      </c>
      <c r="E281" s="129" t="s">
        <v>1005</v>
      </c>
      <c r="F281" s="125" t="s">
        <v>184</v>
      </c>
      <c r="G281" s="126">
        <v>41538</v>
      </c>
      <c r="H281" s="126">
        <v>41764</v>
      </c>
      <c r="I281" s="158">
        <v>-96</v>
      </c>
      <c r="J281" s="126">
        <v>41564</v>
      </c>
      <c r="K281" s="126" t="s">
        <v>89</v>
      </c>
      <c r="L281" s="126" t="s">
        <v>89</v>
      </c>
      <c r="M281" s="126" t="s">
        <v>89</v>
      </c>
      <c r="N281" s="126">
        <v>41799</v>
      </c>
      <c r="O281" s="126" t="s">
        <v>89</v>
      </c>
      <c r="P281" s="126">
        <v>41895</v>
      </c>
      <c r="Q281" s="129" t="s">
        <v>1535</v>
      </c>
      <c r="R281" s="123"/>
    </row>
    <row r="282" spans="1:18" s="20" customFormat="1" ht="105" x14ac:dyDescent="0.2">
      <c r="A282" s="140" t="s">
        <v>1102</v>
      </c>
      <c r="B282" s="123">
        <v>1080583959</v>
      </c>
      <c r="C282" s="123">
        <v>1080583456</v>
      </c>
      <c r="D282" s="123" t="s">
        <v>134</v>
      </c>
      <c r="E282" s="129" t="s">
        <v>1111</v>
      </c>
      <c r="F282" s="125" t="s">
        <v>174</v>
      </c>
      <c r="G282" s="126">
        <v>41586</v>
      </c>
      <c r="H282" s="126">
        <v>41652</v>
      </c>
      <c r="I282" s="158">
        <v>-176</v>
      </c>
      <c r="J282" s="126">
        <v>41597</v>
      </c>
      <c r="K282" s="126">
        <v>41610</v>
      </c>
      <c r="L282" s="126" t="s">
        <v>89</v>
      </c>
      <c r="M282" s="126" t="s">
        <v>89</v>
      </c>
      <c r="N282" s="126" t="s">
        <v>136</v>
      </c>
      <c r="O282" s="126" t="s">
        <v>89</v>
      </c>
      <c r="P282" s="126">
        <v>41895</v>
      </c>
      <c r="Q282" s="129" t="s">
        <v>1498</v>
      </c>
      <c r="R282" s="123"/>
    </row>
    <row r="283" spans="1:18" s="20" customFormat="1" ht="120" x14ac:dyDescent="0.2">
      <c r="A283" s="140" t="s">
        <v>1205</v>
      </c>
      <c r="B283" s="123">
        <v>1080584187</v>
      </c>
      <c r="C283" s="123">
        <v>1080584105</v>
      </c>
      <c r="D283" s="123" t="s">
        <v>1203</v>
      </c>
      <c r="E283" s="129" t="s">
        <v>1209</v>
      </c>
      <c r="F283" s="125" t="s">
        <v>255</v>
      </c>
      <c r="G283" s="126">
        <v>41631</v>
      </c>
      <c r="H283" s="126">
        <v>41718</v>
      </c>
      <c r="I283" s="158">
        <v>-128</v>
      </c>
      <c r="J283" s="126">
        <v>41709</v>
      </c>
      <c r="K283" s="126" t="s">
        <v>89</v>
      </c>
      <c r="L283" s="126" t="s">
        <v>89</v>
      </c>
      <c r="M283" s="126" t="s">
        <v>89</v>
      </c>
      <c r="N283" s="126" t="s">
        <v>89</v>
      </c>
      <c r="O283" s="126" t="s">
        <v>89</v>
      </c>
      <c r="P283" s="126">
        <v>41895</v>
      </c>
      <c r="Q283" s="129" t="s">
        <v>1473</v>
      </c>
      <c r="R283" s="123"/>
    </row>
    <row r="284" spans="1:18" s="20" customFormat="1" ht="75" x14ac:dyDescent="0.2">
      <c r="A284" s="140" t="s">
        <v>1222</v>
      </c>
      <c r="B284" s="123">
        <v>1080584223</v>
      </c>
      <c r="C284" s="123">
        <v>1080583492</v>
      </c>
      <c r="D284" s="123" t="s">
        <v>134</v>
      </c>
      <c r="E284" s="129" t="s">
        <v>1228</v>
      </c>
      <c r="F284" s="125" t="s">
        <v>135</v>
      </c>
      <c r="G284" s="126">
        <v>41647</v>
      </c>
      <c r="H284" s="126">
        <v>41729</v>
      </c>
      <c r="I284" s="158">
        <v>-121</v>
      </c>
      <c r="J284" s="126" t="s">
        <v>89</v>
      </c>
      <c r="K284" s="126" t="s">
        <v>89</v>
      </c>
      <c r="L284" s="126" t="s">
        <v>89</v>
      </c>
      <c r="M284" s="126" t="s">
        <v>89</v>
      </c>
      <c r="N284" s="126">
        <v>41731</v>
      </c>
      <c r="O284" s="126" t="s">
        <v>89</v>
      </c>
      <c r="P284" s="126">
        <v>41766</v>
      </c>
      <c r="Q284" s="129" t="s">
        <v>1390</v>
      </c>
      <c r="R284" s="123"/>
    </row>
    <row r="285" spans="1:18" s="20" customFormat="1" ht="255" x14ac:dyDescent="0.2">
      <c r="A285" s="140" t="s">
        <v>1223</v>
      </c>
      <c r="B285" s="123">
        <v>1080584225</v>
      </c>
      <c r="C285" s="123">
        <v>1080583492</v>
      </c>
      <c r="D285" s="123" t="s">
        <v>265</v>
      </c>
      <c r="E285" s="129" t="s">
        <v>1229</v>
      </c>
      <c r="F285" s="125" t="s">
        <v>135</v>
      </c>
      <c r="G285" s="126">
        <v>41647</v>
      </c>
      <c r="H285" s="126">
        <v>41764</v>
      </c>
      <c r="I285" s="158">
        <v>-96</v>
      </c>
      <c r="J285" s="126">
        <v>41696</v>
      </c>
      <c r="K285" s="126">
        <v>41624</v>
      </c>
      <c r="L285" s="126" t="s">
        <v>89</v>
      </c>
      <c r="M285" s="126" t="s">
        <v>89</v>
      </c>
      <c r="N285" s="126" t="s">
        <v>136</v>
      </c>
      <c r="O285" s="126" t="s">
        <v>1067</v>
      </c>
      <c r="P285" s="126">
        <v>41895</v>
      </c>
      <c r="Q285" s="129" t="s">
        <v>1493</v>
      </c>
      <c r="R285" s="123"/>
    </row>
    <row r="286" spans="1:18" s="20" customFormat="1" ht="105" x14ac:dyDescent="0.2">
      <c r="A286" s="140" t="s">
        <v>1275</v>
      </c>
      <c r="B286" s="123">
        <v>1080584396</v>
      </c>
      <c r="C286" s="123">
        <v>1080584128</v>
      </c>
      <c r="D286" s="123" t="s">
        <v>1303</v>
      </c>
      <c r="E286" s="129" t="s">
        <v>1277</v>
      </c>
      <c r="F286" s="125" t="s">
        <v>174</v>
      </c>
      <c r="G286" s="126">
        <v>41675</v>
      </c>
      <c r="H286" s="126">
        <v>41743</v>
      </c>
      <c r="I286" s="158">
        <v>-111</v>
      </c>
      <c r="J286" s="126" t="s">
        <v>89</v>
      </c>
      <c r="K286" s="126">
        <v>41678</v>
      </c>
      <c r="L286" s="126" t="s">
        <v>89</v>
      </c>
      <c r="M286" s="126" t="s">
        <v>89</v>
      </c>
      <c r="N286" s="126">
        <v>41778</v>
      </c>
      <c r="O286" s="126">
        <v>41733</v>
      </c>
      <c r="P286" s="126">
        <v>41895</v>
      </c>
      <c r="Q286" s="129" t="s">
        <v>1454</v>
      </c>
      <c r="R286" s="123"/>
    </row>
    <row r="287" spans="1:18" s="20" customFormat="1" ht="60" x14ac:dyDescent="0.2">
      <c r="A287" s="140" t="s">
        <v>1333</v>
      </c>
      <c r="B287" s="123">
        <v>1080584627</v>
      </c>
      <c r="C287" s="123">
        <v>1080583604</v>
      </c>
      <c r="D287" s="123" t="s">
        <v>201</v>
      </c>
      <c r="E287" s="129" t="s">
        <v>1339</v>
      </c>
      <c r="F287" s="125" t="s">
        <v>294</v>
      </c>
      <c r="G287" s="126">
        <v>41707</v>
      </c>
      <c r="H287" s="126">
        <v>41792</v>
      </c>
      <c r="I287" s="158">
        <v>-76</v>
      </c>
      <c r="J287" s="126" t="s">
        <v>89</v>
      </c>
      <c r="K287" s="126" t="s">
        <v>89</v>
      </c>
      <c r="L287" s="126" t="s">
        <v>89</v>
      </c>
      <c r="M287" s="126" t="s">
        <v>89</v>
      </c>
      <c r="N287" s="126">
        <v>41774</v>
      </c>
      <c r="O287" s="126" t="s">
        <v>89</v>
      </c>
      <c r="P287" s="126">
        <v>41894</v>
      </c>
      <c r="Q287" s="129" t="s">
        <v>1476</v>
      </c>
      <c r="R287" s="123"/>
    </row>
    <row r="288" spans="1:18" s="20" customFormat="1" ht="75" x14ac:dyDescent="0.2">
      <c r="A288" s="140" t="s">
        <v>1362</v>
      </c>
      <c r="B288" s="123">
        <v>1080584719</v>
      </c>
      <c r="C288" s="123">
        <v>1080583809</v>
      </c>
      <c r="D288" s="123" t="s">
        <v>201</v>
      </c>
      <c r="E288" s="129" t="s">
        <v>1368</v>
      </c>
      <c r="F288" s="125" t="s">
        <v>294</v>
      </c>
      <c r="G288" s="126">
        <v>41720</v>
      </c>
      <c r="H288" s="126">
        <v>41799</v>
      </c>
      <c r="I288" s="158">
        <v>-71</v>
      </c>
      <c r="J288" s="126" t="s">
        <v>89</v>
      </c>
      <c r="K288" s="126" t="s">
        <v>89</v>
      </c>
      <c r="L288" s="126" t="s">
        <v>89</v>
      </c>
      <c r="M288" s="126" t="s">
        <v>89</v>
      </c>
      <c r="N288" s="126">
        <v>41774</v>
      </c>
      <c r="O288" s="126" t="s">
        <v>89</v>
      </c>
      <c r="P288" s="126">
        <v>41894</v>
      </c>
      <c r="Q288" s="129" t="s">
        <v>1500</v>
      </c>
      <c r="R288" s="123"/>
    </row>
    <row r="289" spans="1:18" s="20" customFormat="1" ht="60" x14ac:dyDescent="0.2">
      <c r="A289" s="140" t="s">
        <v>1375</v>
      </c>
      <c r="B289" s="123">
        <v>1080584765</v>
      </c>
      <c r="C289" s="123">
        <v>1080583458</v>
      </c>
      <c r="D289" s="123" t="s">
        <v>1122</v>
      </c>
      <c r="E289" s="129" t="s">
        <v>1382</v>
      </c>
      <c r="F289" s="125" t="s">
        <v>119</v>
      </c>
      <c r="G289" s="126">
        <v>41728</v>
      </c>
      <c r="H289" s="126">
        <v>41792</v>
      </c>
      <c r="I289" s="158">
        <v>-76</v>
      </c>
      <c r="J289" s="126" t="s">
        <v>89</v>
      </c>
      <c r="K289" s="126">
        <v>41597</v>
      </c>
      <c r="L289" s="126" t="s">
        <v>171</v>
      </c>
      <c r="M289" s="126" t="s">
        <v>89</v>
      </c>
      <c r="N289" s="126">
        <v>41597</v>
      </c>
      <c r="O289" s="126" t="s">
        <v>1067</v>
      </c>
      <c r="P289" s="126">
        <v>41895</v>
      </c>
      <c r="Q289" s="129" t="s">
        <v>1477</v>
      </c>
      <c r="R289" s="123"/>
    </row>
    <row r="290" spans="1:18" s="20" customFormat="1" ht="90" x14ac:dyDescent="0.2">
      <c r="A290" s="140" t="s">
        <v>1431</v>
      </c>
      <c r="B290" s="123">
        <v>1080585018</v>
      </c>
      <c r="C290" s="123">
        <v>1080584054</v>
      </c>
      <c r="D290" s="123"/>
      <c r="E290" s="129" t="s">
        <v>1432</v>
      </c>
      <c r="F290" s="125" t="s">
        <v>103</v>
      </c>
      <c r="G290" s="126">
        <v>41763</v>
      </c>
      <c r="H290" s="126">
        <v>41845</v>
      </c>
      <c r="I290" s="158">
        <v>-37</v>
      </c>
      <c r="J290" s="126" t="s">
        <v>89</v>
      </c>
      <c r="K290" s="126" t="s">
        <v>89</v>
      </c>
      <c r="L290" s="126">
        <v>41870</v>
      </c>
      <c r="M290" s="126" t="s">
        <v>89</v>
      </c>
      <c r="N290" s="126">
        <v>41774</v>
      </c>
      <c r="O290" s="126" t="s">
        <v>89</v>
      </c>
      <c r="P290" s="126">
        <v>41895</v>
      </c>
      <c r="Q290" s="129" t="s">
        <v>1537</v>
      </c>
      <c r="R290" s="123"/>
    </row>
    <row r="291" spans="1:18" s="20" customFormat="1" ht="120" x14ac:dyDescent="0.2">
      <c r="A291" s="140" t="s">
        <v>1221</v>
      </c>
      <c r="B291" s="123">
        <v>1080584220</v>
      </c>
      <c r="C291" s="123">
        <v>1080583492</v>
      </c>
      <c r="D291" s="123" t="s">
        <v>134</v>
      </c>
      <c r="E291" s="129" t="s">
        <v>1227</v>
      </c>
      <c r="F291" s="125" t="s">
        <v>135</v>
      </c>
      <c r="G291" s="126">
        <v>41646</v>
      </c>
      <c r="H291" s="126">
        <v>41708</v>
      </c>
      <c r="I291" s="158">
        <v>-149</v>
      </c>
      <c r="J291" s="126" t="s">
        <v>89</v>
      </c>
      <c r="K291" s="126">
        <v>41654</v>
      </c>
      <c r="L291" s="126" t="s">
        <v>89</v>
      </c>
      <c r="M291" s="126" t="s">
        <v>89</v>
      </c>
      <c r="N291" s="126">
        <v>41799</v>
      </c>
      <c r="O291" s="126" t="s">
        <v>89</v>
      </c>
      <c r="P291" s="126">
        <v>41913</v>
      </c>
      <c r="Q291" s="129" t="s">
        <v>1498</v>
      </c>
      <c r="R291" s="123"/>
    </row>
    <row r="292" spans="1:18" s="20" customFormat="1" ht="90" x14ac:dyDescent="0.2">
      <c r="A292" s="140" t="s">
        <v>1322</v>
      </c>
      <c r="B292" s="123">
        <v>1080584570</v>
      </c>
      <c r="C292" s="123">
        <v>1080584254</v>
      </c>
      <c r="D292" s="123" t="s">
        <v>1161</v>
      </c>
      <c r="E292" s="129" t="s">
        <v>1324</v>
      </c>
      <c r="F292" s="125" t="s">
        <v>103</v>
      </c>
      <c r="G292" s="126">
        <v>41700</v>
      </c>
      <c r="H292" s="126">
        <v>41792</v>
      </c>
      <c r="I292" s="158">
        <v>-89</v>
      </c>
      <c r="J292" s="126">
        <v>41723</v>
      </c>
      <c r="K292" s="126" t="s">
        <v>89</v>
      </c>
      <c r="L292" s="126">
        <v>41850</v>
      </c>
      <c r="M292" s="126" t="s">
        <v>89</v>
      </c>
      <c r="N292" s="126">
        <v>41719</v>
      </c>
      <c r="O292" s="126" t="s">
        <v>89</v>
      </c>
      <c r="P292" s="126">
        <v>41913</v>
      </c>
      <c r="Q292" s="129" t="s">
        <v>1536</v>
      </c>
      <c r="R292" s="123"/>
    </row>
    <row r="293" spans="1:18" s="20" customFormat="1" ht="180" x14ac:dyDescent="0.2">
      <c r="A293" s="140" t="s">
        <v>1350</v>
      </c>
      <c r="B293" s="123">
        <v>1080584683</v>
      </c>
      <c r="C293" s="123">
        <v>1080583693</v>
      </c>
      <c r="D293" s="123" t="s">
        <v>102</v>
      </c>
      <c r="E293" s="129" t="s">
        <v>1355</v>
      </c>
      <c r="F293" s="125" t="s">
        <v>103</v>
      </c>
      <c r="G293" s="126">
        <v>41712</v>
      </c>
      <c r="H293" s="126">
        <v>41796</v>
      </c>
      <c r="I293" s="158">
        <v>-85</v>
      </c>
      <c r="J293" s="126" t="s">
        <v>89</v>
      </c>
      <c r="K293" s="126" t="s">
        <v>89</v>
      </c>
      <c r="L293" s="126" t="s">
        <v>89</v>
      </c>
      <c r="M293" s="126" t="s">
        <v>89</v>
      </c>
      <c r="N293" s="126">
        <v>41731</v>
      </c>
      <c r="O293" s="126" t="s">
        <v>89</v>
      </c>
      <c r="P293" s="126">
        <v>41913</v>
      </c>
      <c r="Q293" s="129" t="s">
        <v>1499</v>
      </c>
      <c r="R293" s="123"/>
    </row>
    <row r="294" spans="1:18" s="20" customFormat="1" ht="135" x14ac:dyDescent="0.2">
      <c r="A294" s="140" t="s">
        <v>1351</v>
      </c>
      <c r="B294" s="123">
        <v>1080584684</v>
      </c>
      <c r="C294" s="123">
        <v>1080584169</v>
      </c>
      <c r="D294" s="123" t="s">
        <v>265</v>
      </c>
      <c r="E294" s="129" t="s">
        <v>1356</v>
      </c>
      <c r="F294" s="125" t="s">
        <v>135</v>
      </c>
      <c r="G294" s="126">
        <v>41713</v>
      </c>
      <c r="H294" s="126">
        <v>41799</v>
      </c>
      <c r="I294" s="158">
        <v>-84</v>
      </c>
      <c r="J294" s="126">
        <v>41688</v>
      </c>
      <c r="K294" s="126" t="s">
        <v>89</v>
      </c>
      <c r="L294" s="126" t="s">
        <v>89</v>
      </c>
      <c r="M294" s="126" t="s">
        <v>89</v>
      </c>
      <c r="N294" s="126">
        <v>41731</v>
      </c>
      <c r="O294" s="126" t="s">
        <v>89</v>
      </c>
      <c r="P294" s="126">
        <v>41913</v>
      </c>
      <c r="Q294" s="129" t="s">
        <v>1661</v>
      </c>
      <c r="R294" s="123"/>
    </row>
    <row r="295" spans="1:18" s="20" customFormat="1" ht="195" x14ac:dyDescent="0.2">
      <c r="A295" s="140" t="s">
        <v>1388</v>
      </c>
      <c r="B295" s="123">
        <v>1080584823</v>
      </c>
      <c r="C295" s="123">
        <v>1080583894</v>
      </c>
      <c r="D295" s="123" t="s">
        <v>261</v>
      </c>
      <c r="E295" s="129" t="s">
        <v>1397</v>
      </c>
      <c r="F295" s="125" t="s">
        <v>217</v>
      </c>
      <c r="G295" s="126">
        <v>41735</v>
      </c>
      <c r="H295" s="126">
        <v>41817</v>
      </c>
      <c r="I295" s="158">
        <v>-70</v>
      </c>
      <c r="J295" s="126">
        <v>41775</v>
      </c>
      <c r="K295" s="126" t="s">
        <v>89</v>
      </c>
      <c r="L295" s="126">
        <v>41837</v>
      </c>
      <c r="M295" s="126" t="s">
        <v>89</v>
      </c>
      <c r="N295" s="126">
        <v>41837</v>
      </c>
      <c r="O295" s="126" t="s">
        <v>89</v>
      </c>
      <c r="P295" s="126">
        <v>41913</v>
      </c>
      <c r="Q295" s="129" t="s">
        <v>1661</v>
      </c>
      <c r="R295" s="123"/>
    </row>
    <row r="296" spans="1:18" s="20" customFormat="1" ht="105" x14ac:dyDescent="0.2">
      <c r="A296" s="140" t="s">
        <v>1271</v>
      </c>
      <c r="B296" s="123">
        <v>1080584382</v>
      </c>
      <c r="C296" s="123">
        <v>1080584084</v>
      </c>
      <c r="D296" s="123" t="s">
        <v>1118</v>
      </c>
      <c r="E296" s="129" t="s">
        <v>1274</v>
      </c>
      <c r="F296" s="125" t="s">
        <v>679</v>
      </c>
      <c r="G296" s="126">
        <v>41671</v>
      </c>
      <c r="H296" s="126">
        <v>41729</v>
      </c>
      <c r="I296" s="158">
        <v>-139</v>
      </c>
      <c r="J296" s="126" t="s">
        <v>89</v>
      </c>
      <c r="K296" s="126" t="s">
        <v>89</v>
      </c>
      <c r="L296" s="126" t="s">
        <v>89</v>
      </c>
      <c r="M296" s="126" t="s">
        <v>89</v>
      </c>
      <c r="N296" s="126">
        <v>41890</v>
      </c>
      <c r="O296" s="126" t="s">
        <v>89</v>
      </c>
      <c r="P296" s="126">
        <v>41920</v>
      </c>
      <c r="Q296" s="129" t="s">
        <v>1613</v>
      </c>
      <c r="R296" s="123"/>
    </row>
    <row r="297" spans="1:18" s="20" customFormat="1" ht="75" x14ac:dyDescent="0.2">
      <c r="A297" s="140" t="s">
        <v>1325</v>
      </c>
      <c r="B297" s="123">
        <v>1080584584</v>
      </c>
      <c r="C297" s="123">
        <v>1080584398</v>
      </c>
      <c r="D297" s="123" t="s">
        <v>1341</v>
      </c>
      <c r="E297" s="129" t="s">
        <v>1329</v>
      </c>
      <c r="F297" s="125" t="s">
        <v>181</v>
      </c>
      <c r="G297" s="126">
        <v>41702</v>
      </c>
      <c r="H297" s="126">
        <v>41820</v>
      </c>
      <c r="I297" s="158">
        <v>-74</v>
      </c>
      <c r="J297" s="126" t="s">
        <v>89</v>
      </c>
      <c r="K297" s="126">
        <v>41702</v>
      </c>
      <c r="L297" s="126" t="s">
        <v>89</v>
      </c>
      <c r="M297" s="126" t="s">
        <v>89</v>
      </c>
      <c r="N297" s="126">
        <v>41753</v>
      </c>
      <c r="O297" s="126">
        <v>41901</v>
      </c>
      <c r="P297" s="126">
        <v>41920</v>
      </c>
      <c r="Q297" s="129" t="s">
        <v>1666</v>
      </c>
      <c r="R297" s="123"/>
    </row>
    <row r="298" spans="1:18" s="20" customFormat="1" ht="180" x14ac:dyDescent="0.2">
      <c r="A298" s="167" t="s">
        <v>228</v>
      </c>
      <c r="B298" s="123">
        <v>1080582868</v>
      </c>
      <c r="C298" s="123">
        <v>1080581659</v>
      </c>
      <c r="D298" s="123" t="s">
        <v>110</v>
      </c>
      <c r="E298" s="159" t="s">
        <v>908</v>
      </c>
      <c r="F298" s="125" t="s">
        <v>229</v>
      </c>
      <c r="G298" s="126">
        <v>41415</v>
      </c>
      <c r="H298" s="166">
        <v>41523</v>
      </c>
      <c r="I298" s="158">
        <v>-290</v>
      </c>
      <c r="J298" s="126" t="s">
        <v>89</v>
      </c>
      <c r="K298" s="126">
        <v>41480</v>
      </c>
      <c r="L298" s="126" t="s">
        <v>171</v>
      </c>
      <c r="M298" s="126" t="s">
        <v>89</v>
      </c>
      <c r="N298" s="126" t="s">
        <v>1738</v>
      </c>
      <c r="O298" s="126" t="s">
        <v>230</v>
      </c>
      <c r="P298" s="126">
        <v>41926</v>
      </c>
      <c r="Q298" s="129" t="s">
        <v>1444</v>
      </c>
      <c r="R298" s="123"/>
    </row>
    <row r="299" spans="1:18" s="20" customFormat="1" ht="255" x14ac:dyDescent="0.2">
      <c r="A299" s="167" t="s">
        <v>287</v>
      </c>
      <c r="B299" s="123">
        <v>1080583158</v>
      </c>
      <c r="C299" s="123">
        <v>1080582522</v>
      </c>
      <c r="D299" s="123" t="s">
        <v>201</v>
      </c>
      <c r="E299" s="159" t="s">
        <v>963</v>
      </c>
      <c r="F299" s="125" t="s">
        <v>288</v>
      </c>
      <c r="G299" s="126">
        <v>41469</v>
      </c>
      <c r="H299" s="166">
        <v>41764</v>
      </c>
      <c r="I299" s="158">
        <v>-119</v>
      </c>
      <c r="J299" s="126" t="s">
        <v>89</v>
      </c>
      <c r="K299" s="126" t="s">
        <v>89</v>
      </c>
      <c r="L299" s="126" t="s">
        <v>89</v>
      </c>
      <c r="M299" s="126" t="s">
        <v>89</v>
      </c>
      <c r="N299" s="126">
        <v>41774</v>
      </c>
      <c r="O299" s="126" t="s">
        <v>89</v>
      </c>
      <c r="P299" s="126">
        <v>41926</v>
      </c>
      <c r="Q299" s="129"/>
      <c r="R299" s="123"/>
    </row>
    <row r="300" spans="1:18" s="20" customFormat="1" ht="195" x14ac:dyDescent="0.2">
      <c r="A300" s="167" t="s">
        <v>291</v>
      </c>
      <c r="B300" s="123">
        <v>1080583159</v>
      </c>
      <c r="C300" s="123">
        <v>1080582522</v>
      </c>
      <c r="D300" s="123" t="s">
        <v>201</v>
      </c>
      <c r="E300" s="159" t="s">
        <v>1088</v>
      </c>
      <c r="F300" s="125" t="s">
        <v>292</v>
      </c>
      <c r="G300" s="126">
        <v>41469</v>
      </c>
      <c r="H300" s="166">
        <v>41764</v>
      </c>
      <c r="I300" s="158">
        <v>-119</v>
      </c>
      <c r="J300" s="126" t="s">
        <v>89</v>
      </c>
      <c r="K300" s="126">
        <v>41590</v>
      </c>
      <c r="L300" s="126" t="s">
        <v>89</v>
      </c>
      <c r="M300" s="126" t="s">
        <v>89</v>
      </c>
      <c r="N300" s="126" t="s">
        <v>113</v>
      </c>
      <c r="O300" s="126" t="s">
        <v>89</v>
      </c>
      <c r="P300" s="126">
        <v>41927</v>
      </c>
      <c r="Q300" s="129"/>
      <c r="R300" s="123"/>
    </row>
    <row r="301" spans="1:18" s="20" customFormat="1" ht="360" x14ac:dyDescent="0.2">
      <c r="A301" s="167" t="s">
        <v>310</v>
      </c>
      <c r="B301" s="123">
        <v>1080583239</v>
      </c>
      <c r="C301" s="123">
        <v>1080582556</v>
      </c>
      <c r="D301" s="123" t="s">
        <v>311</v>
      </c>
      <c r="E301" s="159" t="s">
        <v>1003</v>
      </c>
      <c r="F301" s="125" t="s">
        <v>244</v>
      </c>
      <c r="G301" s="126">
        <v>41481</v>
      </c>
      <c r="H301" s="166">
        <v>41598</v>
      </c>
      <c r="I301" s="158">
        <v>-237</v>
      </c>
      <c r="J301" s="126">
        <v>41403</v>
      </c>
      <c r="K301" s="126">
        <v>41617</v>
      </c>
      <c r="L301" s="126" t="s">
        <v>89</v>
      </c>
      <c r="M301" s="126" t="s">
        <v>89</v>
      </c>
      <c r="N301" s="126">
        <v>41925</v>
      </c>
      <c r="O301" s="126">
        <v>41673</v>
      </c>
      <c r="P301" s="126">
        <v>41926</v>
      </c>
      <c r="Q301" s="129"/>
      <c r="R301" s="123"/>
    </row>
    <row r="302" spans="1:18" s="20" customFormat="1" ht="90" x14ac:dyDescent="0.2">
      <c r="A302" s="140" t="s">
        <v>1107</v>
      </c>
      <c r="B302" s="123">
        <v>1080583963</v>
      </c>
      <c r="C302" s="123">
        <v>1080582961</v>
      </c>
      <c r="D302" s="123" t="s">
        <v>201</v>
      </c>
      <c r="E302" s="129" t="s">
        <v>1116</v>
      </c>
      <c r="F302" s="125" t="s">
        <v>294</v>
      </c>
      <c r="G302" s="126">
        <v>41587</v>
      </c>
      <c r="H302" s="126">
        <v>41715</v>
      </c>
      <c r="I302" s="158">
        <v>-154</v>
      </c>
      <c r="J302" s="126" t="s">
        <v>89</v>
      </c>
      <c r="K302" s="126" t="s">
        <v>89</v>
      </c>
      <c r="L302" s="126" t="s">
        <v>89</v>
      </c>
      <c r="M302" s="126" t="s">
        <v>89</v>
      </c>
      <c r="N302" s="126">
        <v>41878</v>
      </c>
      <c r="O302" s="126" t="s">
        <v>89</v>
      </c>
      <c r="P302" s="126">
        <v>41926</v>
      </c>
      <c r="Q302" s="129" t="s">
        <v>1612</v>
      </c>
      <c r="R302" s="123"/>
    </row>
    <row r="303" spans="1:18" s="20" customFormat="1" ht="120" x14ac:dyDescent="0.2">
      <c r="A303" s="140" t="s">
        <v>1308</v>
      </c>
      <c r="B303" s="123">
        <v>1080584518</v>
      </c>
      <c r="C303" s="123">
        <v>1080584345</v>
      </c>
      <c r="D303" s="123" t="s">
        <v>261</v>
      </c>
      <c r="E303" s="129" t="s">
        <v>1310</v>
      </c>
      <c r="F303" s="125" t="s">
        <v>217</v>
      </c>
      <c r="G303" s="126">
        <v>41693</v>
      </c>
      <c r="H303" s="126">
        <v>41778</v>
      </c>
      <c r="I303" s="158">
        <v>-109</v>
      </c>
      <c r="J303" s="126" t="s">
        <v>89</v>
      </c>
      <c r="K303" s="126" t="s">
        <v>89</v>
      </c>
      <c r="L303" s="126">
        <v>41746</v>
      </c>
      <c r="M303" s="126" t="s">
        <v>89</v>
      </c>
      <c r="N303" s="126">
        <v>41797</v>
      </c>
      <c r="O303" s="126" t="s">
        <v>89</v>
      </c>
      <c r="P303" s="126">
        <v>41926</v>
      </c>
      <c r="Q303" s="129" t="s">
        <v>1661</v>
      </c>
      <c r="R303" s="123"/>
    </row>
    <row r="304" spans="1:18" s="20" customFormat="1" ht="105" x14ac:dyDescent="0.2">
      <c r="A304" s="140" t="s">
        <v>1330</v>
      </c>
      <c r="B304" s="123">
        <v>1080584619</v>
      </c>
      <c r="C304" s="123">
        <v>1080583114</v>
      </c>
      <c r="D304" s="123" t="s">
        <v>201</v>
      </c>
      <c r="E304" s="129" t="s">
        <v>1335</v>
      </c>
      <c r="F304" s="125" t="s">
        <v>294</v>
      </c>
      <c r="G304" s="126">
        <v>41705</v>
      </c>
      <c r="H304" s="126">
        <v>41789</v>
      </c>
      <c r="I304" s="158">
        <v>-100</v>
      </c>
      <c r="J304" s="126" t="s">
        <v>89</v>
      </c>
      <c r="K304" s="126" t="s">
        <v>89</v>
      </c>
      <c r="L304" s="126" t="s">
        <v>89</v>
      </c>
      <c r="M304" s="126" t="s">
        <v>89</v>
      </c>
      <c r="N304" s="126">
        <v>41774</v>
      </c>
      <c r="O304" s="126" t="s">
        <v>89</v>
      </c>
      <c r="P304" s="126">
        <v>41926</v>
      </c>
      <c r="Q304" s="129" t="s">
        <v>1475</v>
      </c>
      <c r="R304" s="123"/>
    </row>
    <row r="305" spans="1:18" s="20" customFormat="1" ht="150" x14ac:dyDescent="0.2">
      <c r="A305" s="140" t="s">
        <v>1331</v>
      </c>
      <c r="B305" s="123">
        <v>1080584622</v>
      </c>
      <c r="C305" s="123">
        <v>1080583114</v>
      </c>
      <c r="D305" s="123" t="s">
        <v>201</v>
      </c>
      <c r="E305" s="129" t="s">
        <v>1336</v>
      </c>
      <c r="F305" s="125" t="s">
        <v>294</v>
      </c>
      <c r="G305" s="126">
        <v>41705</v>
      </c>
      <c r="H305" s="126">
        <v>41789</v>
      </c>
      <c r="I305" s="158">
        <v>-100</v>
      </c>
      <c r="J305" s="126">
        <v>41730</v>
      </c>
      <c r="K305" s="126" t="s">
        <v>89</v>
      </c>
      <c r="L305" s="126" t="s">
        <v>89</v>
      </c>
      <c r="M305" s="126" t="s">
        <v>89</v>
      </c>
      <c r="N305" s="126">
        <v>41774</v>
      </c>
      <c r="O305" s="126" t="s">
        <v>89</v>
      </c>
      <c r="P305" s="126">
        <v>41926</v>
      </c>
      <c r="Q305" s="129" t="s">
        <v>1475</v>
      </c>
      <c r="R305" s="123"/>
    </row>
    <row r="306" spans="1:18" s="20" customFormat="1" ht="75" x14ac:dyDescent="0.2">
      <c r="A306" s="140" t="s">
        <v>1406</v>
      </c>
      <c r="B306" s="123">
        <v>1080584908</v>
      </c>
      <c r="C306" s="123">
        <v>1080584452</v>
      </c>
      <c r="D306" s="123" t="s">
        <v>134</v>
      </c>
      <c r="E306" s="129" t="s">
        <v>1413</v>
      </c>
      <c r="F306" s="125" t="s">
        <v>184</v>
      </c>
      <c r="G306" s="126">
        <v>41745</v>
      </c>
      <c r="H306" s="126">
        <v>41829</v>
      </c>
      <c r="I306" s="158">
        <v>-72</v>
      </c>
      <c r="J306" s="126" t="s">
        <v>89</v>
      </c>
      <c r="K306" s="126" t="s">
        <v>89</v>
      </c>
      <c r="L306" s="126" t="s">
        <v>89</v>
      </c>
      <c r="M306" s="126" t="s">
        <v>89</v>
      </c>
      <c r="N306" s="126">
        <v>41774</v>
      </c>
      <c r="O306" s="126" t="s">
        <v>89</v>
      </c>
      <c r="P306" s="126">
        <v>41926</v>
      </c>
      <c r="Q306" s="129" t="s">
        <v>1704</v>
      </c>
      <c r="R306" s="123"/>
    </row>
    <row r="307" spans="1:18" s="20" customFormat="1" ht="165" x14ac:dyDescent="0.2">
      <c r="A307" s="140" t="s">
        <v>1440</v>
      </c>
      <c r="B307" s="123">
        <v>1080585109</v>
      </c>
      <c r="C307" s="123">
        <v>1080584058</v>
      </c>
      <c r="D307" s="123" t="s">
        <v>201</v>
      </c>
      <c r="E307" s="129" t="s">
        <v>1449</v>
      </c>
      <c r="F307" s="125" t="s">
        <v>294</v>
      </c>
      <c r="G307" s="126">
        <v>41777</v>
      </c>
      <c r="H307" s="126">
        <v>41855</v>
      </c>
      <c r="I307" s="158">
        <v>-54</v>
      </c>
      <c r="J307" s="126" t="s">
        <v>89</v>
      </c>
      <c r="K307" s="126" t="s">
        <v>89</v>
      </c>
      <c r="L307" s="126" t="s">
        <v>89</v>
      </c>
      <c r="M307" s="126" t="s">
        <v>89</v>
      </c>
      <c r="N307" s="126">
        <v>41885</v>
      </c>
      <c r="O307" s="126" t="s">
        <v>89</v>
      </c>
      <c r="P307" s="126">
        <v>41928</v>
      </c>
      <c r="Q307" s="129" t="s">
        <v>1614</v>
      </c>
      <c r="R307" s="123"/>
    </row>
    <row r="308" spans="1:18" s="20" customFormat="1" ht="60" x14ac:dyDescent="0.2">
      <c r="A308" s="140" t="s">
        <v>1491</v>
      </c>
      <c r="B308" s="123">
        <v>1080585244</v>
      </c>
      <c r="C308" s="123">
        <v>1080584535</v>
      </c>
      <c r="D308" s="123" t="s">
        <v>134</v>
      </c>
      <c r="E308" s="129" t="s">
        <v>1495</v>
      </c>
      <c r="F308" s="125" t="s">
        <v>184</v>
      </c>
      <c r="G308" s="126">
        <v>41798</v>
      </c>
      <c r="H308" s="126">
        <v>41887</v>
      </c>
      <c r="I308" s="158">
        <v>-30</v>
      </c>
      <c r="J308" s="126" t="s">
        <v>89</v>
      </c>
      <c r="K308" s="126" t="s">
        <v>89</v>
      </c>
      <c r="L308" s="126">
        <v>41925</v>
      </c>
      <c r="M308" s="126" t="s">
        <v>89</v>
      </c>
      <c r="N308" s="126">
        <v>41885</v>
      </c>
      <c r="O308" s="126" t="s">
        <v>89</v>
      </c>
      <c r="P308" s="126">
        <v>41926</v>
      </c>
      <c r="Q308" s="129"/>
      <c r="R308" s="123"/>
    </row>
    <row r="309" spans="1:18" s="20" customFormat="1" ht="105" x14ac:dyDescent="0.2">
      <c r="A309" s="140" t="s">
        <v>1462</v>
      </c>
      <c r="B309" s="123">
        <v>1080585171</v>
      </c>
      <c r="C309" s="123">
        <v>1080584905</v>
      </c>
      <c r="D309" s="123" t="s">
        <v>110</v>
      </c>
      <c r="E309" s="129" t="s">
        <v>1465</v>
      </c>
      <c r="F309" s="125" t="s">
        <v>174</v>
      </c>
      <c r="G309" s="126">
        <v>41784</v>
      </c>
      <c r="H309" s="126">
        <v>41848</v>
      </c>
      <c r="I309" s="158">
        <v>-60</v>
      </c>
      <c r="J309" s="126">
        <v>41768</v>
      </c>
      <c r="K309" s="126" t="s">
        <v>89</v>
      </c>
      <c r="L309" s="126" t="s">
        <v>89</v>
      </c>
      <c r="M309" s="126" t="s">
        <v>89</v>
      </c>
      <c r="N309" s="126">
        <v>41927</v>
      </c>
      <c r="O309" s="126" t="s">
        <v>89</v>
      </c>
      <c r="P309" s="126">
        <v>41929</v>
      </c>
      <c r="Q309" s="129" t="s">
        <v>1721</v>
      </c>
      <c r="R309" s="123"/>
    </row>
    <row r="310" spans="1:18" s="20" customFormat="1" ht="240" x14ac:dyDescent="0.2">
      <c r="A310" s="167" t="s">
        <v>231</v>
      </c>
      <c r="B310" s="123">
        <v>1080582877</v>
      </c>
      <c r="C310" s="123">
        <v>1080581880</v>
      </c>
      <c r="D310" s="123" t="s">
        <v>232</v>
      </c>
      <c r="E310" s="159" t="s">
        <v>1290</v>
      </c>
      <c r="F310" s="125" t="s">
        <v>233</v>
      </c>
      <c r="G310" s="126">
        <v>41416</v>
      </c>
      <c r="H310" s="166">
        <v>41488</v>
      </c>
      <c r="I310" s="158">
        <v>-318</v>
      </c>
      <c r="J310" s="126" t="s">
        <v>1636</v>
      </c>
      <c r="K310" s="126" t="s">
        <v>89</v>
      </c>
      <c r="L310" s="126" t="s">
        <v>171</v>
      </c>
      <c r="M310" s="126" t="s">
        <v>89</v>
      </c>
      <c r="N310" s="126" t="s">
        <v>104</v>
      </c>
      <c r="O310" s="126" t="s">
        <v>89</v>
      </c>
      <c r="P310" s="126">
        <v>41932</v>
      </c>
      <c r="Q310" s="129" t="s">
        <v>1291</v>
      </c>
      <c r="R310" s="123"/>
    </row>
    <row r="311" spans="1:18" s="20" customFormat="1" ht="105" x14ac:dyDescent="0.2">
      <c r="A311" s="140" t="s">
        <v>1151</v>
      </c>
      <c r="B311" s="123">
        <v>1080584075</v>
      </c>
      <c r="C311" s="123">
        <v>1080583395</v>
      </c>
      <c r="D311" s="123" t="s">
        <v>1162</v>
      </c>
      <c r="E311" s="129" t="s">
        <v>1157</v>
      </c>
      <c r="F311" s="125" t="s">
        <v>181</v>
      </c>
      <c r="G311" s="126">
        <v>41604</v>
      </c>
      <c r="H311" s="126">
        <v>41694</v>
      </c>
      <c r="I311" s="158">
        <v>-172</v>
      </c>
      <c r="J311" s="126">
        <v>41610</v>
      </c>
      <c r="K311" s="126">
        <v>41682</v>
      </c>
      <c r="L311" s="126" t="s">
        <v>89</v>
      </c>
      <c r="M311" s="126" t="s">
        <v>89</v>
      </c>
      <c r="N311" s="126">
        <v>41779</v>
      </c>
      <c r="O311" s="126">
        <v>41682</v>
      </c>
      <c r="P311" s="126">
        <v>41933</v>
      </c>
      <c r="Q311" s="129" t="s">
        <v>1389</v>
      </c>
      <c r="R311" s="123"/>
    </row>
    <row r="312" spans="1:18" s="20" customFormat="1" ht="255" x14ac:dyDescent="0.2">
      <c r="A312" s="140" t="s">
        <v>1152</v>
      </c>
      <c r="B312" s="123">
        <v>1080584078</v>
      </c>
      <c r="C312" s="123">
        <v>1080583015</v>
      </c>
      <c r="D312" s="123" t="s">
        <v>1161</v>
      </c>
      <c r="E312" s="129" t="s">
        <v>1158</v>
      </c>
      <c r="F312" s="125" t="s">
        <v>1159</v>
      </c>
      <c r="G312" s="126">
        <v>41604</v>
      </c>
      <c r="H312" s="126">
        <v>41680</v>
      </c>
      <c r="I312" s="158">
        <v>-182</v>
      </c>
      <c r="J312" s="126" t="s">
        <v>1750</v>
      </c>
      <c r="K312" s="126" t="s">
        <v>1751</v>
      </c>
      <c r="L312" s="126" t="s">
        <v>289</v>
      </c>
      <c r="M312" s="126" t="s">
        <v>89</v>
      </c>
      <c r="N312" s="126" t="s">
        <v>149</v>
      </c>
      <c r="O312" s="126" t="s">
        <v>1067</v>
      </c>
      <c r="P312" s="126">
        <v>41933</v>
      </c>
      <c r="Q312" s="129" t="s">
        <v>1493</v>
      </c>
      <c r="R312" s="123"/>
    </row>
    <row r="313" spans="1:18" s="20" customFormat="1" ht="90" x14ac:dyDescent="0.2">
      <c r="A313" s="140" t="s">
        <v>1207</v>
      </c>
      <c r="B313" s="123">
        <v>1080584190</v>
      </c>
      <c r="C313" s="123">
        <v>1080583502</v>
      </c>
      <c r="D313" s="123" t="s">
        <v>634</v>
      </c>
      <c r="E313" s="129" t="s">
        <v>1211</v>
      </c>
      <c r="F313" s="125" t="s">
        <v>1212</v>
      </c>
      <c r="G313" s="126">
        <v>41638</v>
      </c>
      <c r="H313" s="126">
        <v>41729</v>
      </c>
      <c r="I313" s="158">
        <v>-149</v>
      </c>
      <c r="J313" s="126">
        <v>41551</v>
      </c>
      <c r="K313" s="126">
        <v>41689</v>
      </c>
      <c r="L313" s="126" t="s">
        <v>89</v>
      </c>
      <c r="M313" s="126" t="s">
        <v>89</v>
      </c>
      <c r="N313" s="126">
        <v>41775</v>
      </c>
      <c r="O313" s="126">
        <v>41696</v>
      </c>
      <c r="P313" s="126">
        <v>41933</v>
      </c>
      <c r="Q313" s="129" t="s">
        <v>1464</v>
      </c>
      <c r="R313" s="123"/>
    </row>
    <row r="314" spans="1:18" s="20" customFormat="1" ht="375" x14ac:dyDescent="0.2">
      <c r="A314" s="140" t="s">
        <v>1217</v>
      </c>
      <c r="B314" s="123">
        <v>1080584206</v>
      </c>
      <c r="C314" s="123">
        <v>1080583418</v>
      </c>
      <c r="D314" s="123" t="s">
        <v>1122</v>
      </c>
      <c r="E314" s="129" t="s">
        <v>1218</v>
      </c>
      <c r="F314" s="125" t="s">
        <v>1219</v>
      </c>
      <c r="G314" s="126">
        <v>41642</v>
      </c>
      <c r="H314" s="126">
        <v>41729</v>
      </c>
      <c r="I314" s="158">
        <v>-149</v>
      </c>
      <c r="J314" s="126" t="s">
        <v>89</v>
      </c>
      <c r="K314" s="126">
        <v>41716</v>
      </c>
      <c r="L314" s="126" t="s">
        <v>171</v>
      </c>
      <c r="M314" s="126" t="s">
        <v>89</v>
      </c>
      <c r="N314" s="126" t="s">
        <v>99</v>
      </c>
      <c r="O314" s="126">
        <v>41689</v>
      </c>
      <c r="P314" s="126">
        <v>41933</v>
      </c>
      <c r="Q314" s="129" t="s">
        <v>1504</v>
      </c>
      <c r="R314" s="123"/>
    </row>
    <row r="315" spans="1:18" s="20" customFormat="1" ht="180" x14ac:dyDescent="0.2">
      <c r="A315" s="140" t="s">
        <v>1342</v>
      </c>
      <c r="B315" s="123">
        <v>1080584660</v>
      </c>
      <c r="C315" s="123">
        <v>1080583612</v>
      </c>
      <c r="D315" s="123" t="s">
        <v>201</v>
      </c>
      <c r="E315" s="129" t="s">
        <v>1346</v>
      </c>
      <c r="F315" s="125" t="s">
        <v>294</v>
      </c>
      <c r="G315" s="126">
        <v>41710</v>
      </c>
      <c r="H315" s="126">
        <v>41785</v>
      </c>
      <c r="I315" s="158">
        <v>-109</v>
      </c>
      <c r="J315" s="126" t="s">
        <v>89</v>
      </c>
      <c r="K315" s="126" t="s">
        <v>89</v>
      </c>
      <c r="L315" s="126" t="s">
        <v>89</v>
      </c>
      <c r="M315" s="126" t="s">
        <v>89</v>
      </c>
      <c r="N315" s="126">
        <v>41774</v>
      </c>
      <c r="O315" s="126" t="s">
        <v>89</v>
      </c>
      <c r="P315" s="126">
        <v>41933</v>
      </c>
      <c r="Q315" s="129" t="s">
        <v>1476</v>
      </c>
      <c r="R315" s="123"/>
    </row>
    <row r="316" spans="1:18" s="20" customFormat="1" ht="105" x14ac:dyDescent="0.2">
      <c r="A316" s="140" t="s">
        <v>1106</v>
      </c>
      <c r="B316" s="123">
        <v>1080583962</v>
      </c>
      <c r="C316" s="123">
        <v>1080582931</v>
      </c>
      <c r="D316" s="123" t="s">
        <v>261</v>
      </c>
      <c r="E316" s="129" t="s">
        <v>1115</v>
      </c>
      <c r="F316" s="125" t="s">
        <v>217</v>
      </c>
      <c r="G316" s="126">
        <v>41587</v>
      </c>
      <c r="H316" s="126">
        <v>41673</v>
      </c>
      <c r="I316" s="158">
        <v>-194</v>
      </c>
      <c r="J316" s="126" t="s">
        <v>89</v>
      </c>
      <c r="K316" s="126" t="s">
        <v>89</v>
      </c>
      <c r="L316" s="126" t="s">
        <v>89</v>
      </c>
      <c r="M316" s="126" t="s">
        <v>89</v>
      </c>
      <c r="N316" s="126">
        <v>41890</v>
      </c>
      <c r="O316" s="126" t="s">
        <v>89</v>
      </c>
      <c r="P316" s="126">
        <v>41939</v>
      </c>
      <c r="Q316" s="129" t="s">
        <v>1612</v>
      </c>
      <c r="R316" s="123"/>
    </row>
    <row r="317" spans="1:18" s="20" customFormat="1" ht="150" x14ac:dyDescent="0.2">
      <c r="A317" s="140" t="s">
        <v>1387</v>
      </c>
      <c r="B317" s="123">
        <v>1080584821</v>
      </c>
      <c r="C317" s="123">
        <v>1080583916</v>
      </c>
      <c r="D317" s="123" t="s">
        <v>1403</v>
      </c>
      <c r="E317" s="129" t="s">
        <v>1394</v>
      </c>
      <c r="F317" s="125" t="s">
        <v>244</v>
      </c>
      <c r="G317" s="126">
        <v>41733</v>
      </c>
      <c r="H317" s="126">
        <v>41841</v>
      </c>
      <c r="I317" s="158">
        <v>-74</v>
      </c>
      <c r="J317" s="126">
        <v>41767</v>
      </c>
      <c r="K317" s="126" t="s">
        <v>89</v>
      </c>
      <c r="L317" s="126" t="s">
        <v>89</v>
      </c>
      <c r="M317" s="126" t="s">
        <v>89</v>
      </c>
      <c r="N317" s="126" t="s">
        <v>89</v>
      </c>
      <c r="O317" s="126" t="s">
        <v>89</v>
      </c>
      <c r="P317" s="126">
        <v>41939</v>
      </c>
      <c r="Q317" s="129" t="s">
        <v>1753</v>
      </c>
      <c r="R317" s="123"/>
    </row>
  </sheetData>
  <sortState ref="A2:S223">
    <sortCondition ref="P2:P223"/>
  </sortState>
  <phoneticPr fontId="0" type="noConversion"/>
  <conditionalFormatting sqref="I2">
    <cfRule type="cellIs" dxfId="343" priority="319" operator="lessThan">
      <formula>0</formula>
    </cfRule>
  </conditionalFormatting>
  <conditionalFormatting sqref="I3">
    <cfRule type="cellIs" dxfId="342" priority="318" operator="lessThan">
      <formula>0</formula>
    </cfRule>
  </conditionalFormatting>
  <conditionalFormatting sqref="I4">
    <cfRule type="cellIs" dxfId="341" priority="317" operator="lessThan">
      <formula>0</formula>
    </cfRule>
  </conditionalFormatting>
  <conditionalFormatting sqref="I5">
    <cfRule type="cellIs" dxfId="340" priority="316" operator="lessThan">
      <formula>0</formula>
    </cfRule>
  </conditionalFormatting>
  <conditionalFormatting sqref="I6">
    <cfRule type="cellIs" dxfId="339" priority="315" operator="lessThan">
      <formula>0</formula>
    </cfRule>
  </conditionalFormatting>
  <conditionalFormatting sqref="I7">
    <cfRule type="cellIs" dxfId="338" priority="314" operator="lessThan">
      <formula>0</formula>
    </cfRule>
  </conditionalFormatting>
  <conditionalFormatting sqref="I8">
    <cfRule type="cellIs" dxfId="337" priority="313" operator="lessThan">
      <formula>0</formula>
    </cfRule>
  </conditionalFormatting>
  <conditionalFormatting sqref="I9">
    <cfRule type="cellIs" dxfId="336" priority="312" operator="lessThan">
      <formula>0</formula>
    </cfRule>
  </conditionalFormatting>
  <conditionalFormatting sqref="I10">
    <cfRule type="cellIs" dxfId="335" priority="311" operator="lessThan">
      <formula>0</formula>
    </cfRule>
  </conditionalFormatting>
  <conditionalFormatting sqref="I11">
    <cfRule type="cellIs" dxfId="334" priority="310" operator="lessThan">
      <formula>0</formula>
    </cfRule>
  </conditionalFormatting>
  <conditionalFormatting sqref="I12">
    <cfRule type="cellIs" dxfId="333" priority="309" operator="lessThan">
      <formula>0</formula>
    </cfRule>
  </conditionalFormatting>
  <conditionalFormatting sqref="I13">
    <cfRule type="cellIs" dxfId="332" priority="308" operator="lessThan">
      <formula>0</formula>
    </cfRule>
  </conditionalFormatting>
  <conditionalFormatting sqref="I14">
    <cfRule type="cellIs" dxfId="331" priority="307" operator="lessThan">
      <formula>0</formula>
    </cfRule>
  </conditionalFormatting>
  <conditionalFormatting sqref="I15">
    <cfRule type="cellIs" dxfId="330" priority="306" operator="lessThan">
      <formula>0</formula>
    </cfRule>
  </conditionalFormatting>
  <conditionalFormatting sqref="I16">
    <cfRule type="cellIs" dxfId="329" priority="305" operator="lessThan">
      <formula>0</formula>
    </cfRule>
  </conditionalFormatting>
  <conditionalFormatting sqref="I17">
    <cfRule type="cellIs" dxfId="328" priority="304" operator="lessThan">
      <formula>0</formula>
    </cfRule>
  </conditionalFormatting>
  <conditionalFormatting sqref="I18">
    <cfRule type="cellIs" dxfId="327" priority="303" operator="lessThan">
      <formula>0</formula>
    </cfRule>
  </conditionalFormatting>
  <conditionalFormatting sqref="I19">
    <cfRule type="cellIs" dxfId="326" priority="302" operator="lessThan">
      <formula>0</formula>
    </cfRule>
  </conditionalFormatting>
  <conditionalFormatting sqref="I20">
    <cfRule type="cellIs" dxfId="325" priority="301" operator="lessThan">
      <formula>0</formula>
    </cfRule>
  </conditionalFormatting>
  <conditionalFormatting sqref="I21">
    <cfRule type="cellIs" dxfId="324" priority="300" operator="lessThan">
      <formula>0</formula>
    </cfRule>
  </conditionalFormatting>
  <conditionalFormatting sqref="I22">
    <cfRule type="cellIs" dxfId="323" priority="299" operator="lessThan">
      <formula>0</formula>
    </cfRule>
  </conditionalFormatting>
  <conditionalFormatting sqref="I23">
    <cfRule type="cellIs" dxfId="322" priority="298" operator="lessThan">
      <formula>0</formula>
    </cfRule>
  </conditionalFormatting>
  <conditionalFormatting sqref="I24">
    <cfRule type="cellIs" dxfId="321" priority="297" operator="lessThan">
      <formula>0</formula>
    </cfRule>
  </conditionalFormatting>
  <conditionalFormatting sqref="I25">
    <cfRule type="cellIs" dxfId="320" priority="296" operator="lessThan">
      <formula>0</formula>
    </cfRule>
  </conditionalFormatting>
  <conditionalFormatting sqref="I26">
    <cfRule type="cellIs" dxfId="319" priority="295" operator="lessThan">
      <formula>0</formula>
    </cfRule>
  </conditionalFormatting>
  <conditionalFormatting sqref="I27">
    <cfRule type="cellIs" dxfId="318" priority="294" operator="lessThan">
      <formula>0</formula>
    </cfRule>
  </conditionalFormatting>
  <conditionalFormatting sqref="I28">
    <cfRule type="cellIs" dxfId="317" priority="293" operator="lessThan">
      <formula>0</formula>
    </cfRule>
  </conditionalFormatting>
  <conditionalFormatting sqref="I29">
    <cfRule type="cellIs" dxfId="316" priority="292" operator="lessThan">
      <formula>0</formula>
    </cfRule>
  </conditionalFormatting>
  <conditionalFormatting sqref="I30">
    <cfRule type="cellIs" dxfId="315" priority="291" operator="lessThan">
      <formula>0</formula>
    </cfRule>
  </conditionalFormatting>
  <conditionalFormatting sqref="I31">
    <cfRule type="cellIs" dxfId="314" priority="290" operator="lessThan">
      <formula>0</formula>
    </cfRule>
  </conditionalFormatting>
  <conditionalFormatting sqref="I32">
    <cfRule type="cellIs" dxfId="313" priority="289" operator="lessThan">
      <formula>0</formula>
    </cfRule>
  </conditionalFormatting>
  <conditionalFormatting sqref="I33">
    <cfRule type="cellIs" dxfId="312" priority="288" operator="lessThan">
      <formula>0</formula>
    </cfRule>
  </conditionalFormatting>
  <conditionalFormatting sqref="I34">
    <cfRule type="cellIs" dxfId="311" priority="287" operator="lessThan">
      <formula>0</formula>
    </cfRule>
  </conditionalFormatting>
  <conditionalFormatting sqref="I35">
    <cfRule type="cellIs" dxfId="310" priority="286" operator="lessThan">
      <formula>0</formula>
    </cfRule>
  </conditionalFormatting>
  <conditionalFormatting sqref="I36">
    <cfRule type="cellIs" dxfId="309" priority="285" operator="lessThan">
      <formula>0</formula>
    </cfRule>
  </conditionalFormatting>
  <conditionalFormatting sqref="I37">
    <cfRule type="cellIs" dxfId="308" priority="284" operator="lessThan">
      <formula>0</formula>
    </cfRule>
  </conditionalFormatting>
  <conditionalFormatting sqref="I38">
    <cfRule type="cellIs" dxfId="307" priority="283" operator="lessThan">
      <formula>0</formula>
    </cfRule>
  </conditionalFormatting>
  <conditionalFormatting sqref="I39">
    <cfRule type="cellIs" dxfId="306" priority="282" operator="lessThan">
      <formula>0</formula>
    </cfRule>
  </conditionalFormatting>
  <conditionalFormatting sqref="I40">
    <cfRule type="expression" dxfId="305" priority="281">
      <formula>$I40&lt;0</formula>
    </cfRule>
  </conditionalFormatting>
  <conditionalFormatting sqref="I41">
    <cfRule type="cellIs" dxfId="304" priority="280" operator="lessThan">
      <formula>0</formula>
    </cfRule>
  </conditionalFormatting>
  <conditionalFormatting sqref="I42">
    <cfRule type="cellIs" dxfId="303" priority="279" operator="lessThan">
      <formula>0</formula>
    </cfRule>
  </conditionalFormatting>
  <conditionalFormatting sqref="I43">
    <cfRule type="cellIs" dxfId="302" priority="278" operator="lessThan">
      <formula>0</formula>
    </cfRule>
  </conditionalFormatting>
  <conditionalFormatting sqref="I44">
    <cfRule type="expression" dxfId="301" priority="277">
      <formula>$I44&lt;0</formula>
    </cfRule>
  </conditionalFormatting>
  <conditionalFormatting sqref="I45">
    <cfRule type="expression" dxfId="300" priority="276">
      <formula>$I45&lt;0</formula>
    </cfRule>
  </conditionalFormatting>
  <conditionalFormatting sqref="I46">
    <cfRule type="cellIs" dxfId="299" priority="275" operator="lessThan">
      <formula>0</formula>
    </cfRule>
  </conditionalFormatting>
  <conditionalFormatting sqref="I47">
    <cfRule type="cellIs" dxfId="298" priority="274" operator="lessThan">
      <formula>0</formula>
    </cfRule>
  </conditionalFormatting>
  <conditionalFormatting sqref="I48">
    <cfRule type="cellIs" dxfId="297" priority="273" operator="lessThan">
      <formula>0</formula>
    </cfRule>
  </conditionalFormatting>
  <conditionalFormatting sqref="I49">
    <cfRule type="cellIs" dxfId="296" priority="272" operator="lessThan">
      <formula>0</formula>
    </cfRule>
  </conditionalFormatting>
  <conditionalFormatting sqref="I50">
    <cfRule type="expression" dxfId="295" priority="271">
      <formula>$I50&lt;0</formula>
    </cfRule>
  </conditionalFormatting>
  <conditionalFormatting sqref="I51">
    <cfRule type="cellIs" dxfId="294" priority="270" operator="lessThan">
      <formula>0</formula>
    </cfRule>
  </conditionalFormatting>
  <conditionalFormatting sqref="I52">
    <cfRule type="expression" dxfId="293" priority="269">
      <formula>$I52&lt;0</formula>
    </cfRule>
  </conditionalFormatting>
  <conditionalFormatting sqref="I53">
    <cfRule type="expression" dxfId="292" priority="268">
      <formula>$I53&lt;0</formula>
    </cfRule>
  </conditionalFormatting>
  <conditionalFormatting sqref="I54">
    <cfRule type="cellIs" dxfId="291" priority="267" operator="lessThan">
      <formula>0</formula>
    </cfRule>
  </conditionalFormatting>
  <conditionalFormatting sqref="I55">
    <cfRule type="cellIs" dxfId="290" priority="266" operator="lessThan">
      <formula>0</formula>
    </cfRule>
  </conditionalFormatting>
  <conditionalFormatting sqref="I56">
    <cfRule type="cellIs" dxfId="289" priority="265" operator="lessThan">
      <formula>0</formula>
    </cfRule>
  </conditionalFormatting>
  <conditionalFormatting sqref="I57">
    <cfRule type="cellIs" dxfId="288" priority="264" operator="lessThan">
      <formula>0</formula>
    </cfRule>
  </conditionalFormatting>
  <conditionalFormatting sqref="I58">
    <cfRule type="cellIs" dxfId="287" priority="263" operator="lessThan">
      <formula>0</formula>
    </cfRule>
  </conditionalFormatting>
  <conditionalFormatting sqref="I59">
    <cfRule type="expression" dxfId="286" priority="262">
      <formula>$I59&lt;0</formula>
    </cfRule>
  </conditionalFormatting>
  <conditionalFormatting sqref="I60">
    <cfRule type="expression" dxfId="285" priority="261">
      <formula>$I60&lt;0</formula>
    </cfRule>
  </conditionalFormatting>
  <conditionalFormatting sqref="I61">
    <cfRule type="expression" dxfId="284" priority="260">
      <formula>$I61&lt;0</formula>
    </cfRule>
  </conditionalFormatting>
  <conditionalFormatting sqref="I62">
    <cfRule type="cellIs" dxfId="283" priority="259" operator="lessThan">
      <formula>0</formula>
    </cfRule>
  </conditionalFormatting>
  <conditionalFormatting sqref="I63">
    <cfRule type="expression" dxfId="282" priority="258">
      <formula>$I63&lt;0</formula>
    </cfRule>
  </conditionalFormatting>
  <conditionalFormatting sqref="I64">
    <cfRule type="expression" dxfId="281" priority="257">
      <formula>$I64&lt;0</formula>
    </cfRule>
  </conditionalFormatting>
  <conditionalFormatting sqref="I65">
    <cfRule type="expression" dxfId="280" priority="256">
      <formula>$I65&lt;0</formula>
    </cfRule>
  </conditionalFormatting>
  <conditionalFormatting sqref="I66">
    <cfRule type="expression" dxfId="279" priority="255">
      <formula>$I66&lt;0</formula>
    </cfRule>
  </conditionalFormatting>
  <conditionalFormatting sqref="I67">
    <cfRule type="expression" dxfId="278" priority="254">
      <formula>$I67&lt;0</formula>
    </cfRule>
  </conditionalFormatting>
  <conditionalFormatting sqref="I68">
    <cfRule type="expression" dxfId="277" priority="253">
      <formula>$I68&lt;0</formula>
    </cfRule>
  </conditionalFormatting>
  <conditionalFormatting sqref="I69">
    <cfRule type="cellIs" dxfId="276" priority="252" operator="lessThan">
      <formula>0</formula>
    </cfRule>
  </conditionalFormatting>
  <conditionalFormatting sqref="I70">
    <cfRule type="expression" dxfId="275" priority="251">
      <formula>$I70&lt;0</formula>
    </cfRule>
  </conditionalFormatting>
  <conditionalFormatting sqref="I71">
    <cfRule type="expression" dxfId="274" priority="250">
      <formula>$I71&lt;0</formula>
    </cfRule>
  </conditionalFormatting>
  <conditionalFormatting sqref="I72">
    <cfRule type="expression" dxfId="273" priority="249">
      <formula>$I72&lt;0</formula>
    </cfRule>
  </conditionalFormatting>
  <conditionalFormatting sqref="I73">
    <cfRule type="cellIs" dxfId="272" priority="248" operator="lessThan">
      <formula>0</formula>
    </cfRule>
  </conditionalFormatting>
  <conditionalFormatting sqref="I74">
    <cfRule type="cellIs" dxfId="271" priority="247" operator="lessThan">
      <formula>0</formula>
    </cfRule>
  </conditionalFormatting>
  <conditionalFormatting sqref="I75">
    <cfRule type="expression" dxfId="270" priority="246">
      <formula>$I75&lt;0</formula>
    </cfRule>
  </conditionalFormatting>
  <conditionalFormatting sqref="I76">
    <cfRule type="expression" dxfId="269" priority="245">
      <formula>$I76&lt;0</formula>
    </cfRule>
  </conditionalFormatting>
  <conditionalFormatting sqref="I77">
    <cfRule type="expression" dxfId="268" priority="244">
      <formula>$I77&lt;0</formula>
    </cfRule>
  </conditionalFormatting>
  <conditionalFormatting sqref="I78">
    <cfRule type="expression" dxfId="267" priority="243">
      <formula>$I78&lt;0</formula>
    </cfRule>
  </conditionalFormatting>
  <conditionalFormatting sqref="I79">
    <cfRule type="expression" dxfId="266" priority="242">
      <formula>$I79&lt;0</formula>
    </cfRule>
  </conditionalFormatting>
  <conditionalFormatting sqref="I80">
    <cfRule type="expression" dxfId="265" priority="241">
      <formula>$I80&lt;0</formula>
    </cfRule>
  </conditionalFormatting>
  <conditionalFormatting sqref="I81">
    <cfRule type="cellIs" dxfId="264" priority="240" operator="lessThan">
      <formula>0</formula>
    </cfRule>
  </conditionalFormatting>
  <conditionalFormatting sqref="I82">
    <cfRule type="expression" dxfId="263" priority="239">
      <formula>$I82&lt;0</formula>
    </cfRule>
  </conditionalFormatting>
  <conditionalFormatting sqref="I83">
    <cfRule type="expression" dxfId="262" priority="238">
      <formula>$I83&lt;0</formula>
    </cfRule>
  </conditionalFormatting>
  <conditionalFormatting sqref="I84">
    <cfRule type="expression" dxfId="261" priority="237">
      <formula>$I84&lt;0</formula>
    </cfRule>
  </conditionalFormatting>
  <conditionalFormatting sqref="I85">
    <cfRule type="expression" dxfId="260" priority="236">
      <formula>$I85&lt;0</formula>
    </cfRule>
  </conditionalFormatting>
  <conditionalFormatting sqref="I86">
    <cfRule type="expression" dxfId="259" priority="235">
      <formula>$I86&lt;0</formula>
    </cfRule>
  </conditionalFormatting>
  <conditionalFormatting sqref="I87">
    <cfRule type="expression" dxfId="258" priority="234">
      <formula>$I87&lt;0</formula>
    </cfRule>
  </conditionalFormatting>
  <conditionalFormatting sqref="I88">
    <cfRule type="expression" dxfId="257" priority="230">
      <formula>$I88&lt;0</formula>
    </cfRule>
    <cfRule type="expression" dxfId="256" priority="231">
      <formula>$I88&lt;0</formula>
    </cfRule>
    <cfRule type="expression" dxfId="255" priority="232">
      <formula>$I88&lt;0</formula>
    </cfRule>
    <cfRule type="expression" dxfId="254" priority="233">
      <formula>$I88&lt;0</formula>
    </cfRule>
  </conditionalFormatting>
  <conditionalFormatting sqref="I89">
    <cfRule type="cellIs" dxfId="253" priority="229" operator="lessThan">
      <formula>0</formula>
    </cfRule>
  </conditionalFormatting>
  <conditionalFormatting sqref="I90">
    <cfRule type="expression" dxfId="252" priority="228">
      <formula>$I90&lt;0</formula>
    </cfRule>
  </conditionalFormatting>
  <conditionalFormatting sqref="I91">
    <cfRule type="cellIs" dxfId="251" priority="227" operator="lessThan">
      <formula>0</formula>
    </cfRule>
  </conditionalFormatting>
  <conditionalFormatting sqref="I92">
    <cfRule type="cellIs" dxfId="250" priority="226" operator="lessThan">
      <formula>0</formula>
    </cfRule>
  </conditionalFormatting>
  <conditionalFormatting sqref="I93">
    <cfRule type="expression" dxfId="249" priority="225">
      <formula>$I93&lt;0</formula>
    </cfRule>
  </conditionalFormatting>
  <conditionalFormatting sqref="I94">
    <cfRule type="expression" dxfId="248" priority="224">
      <formula>$I94&lt;0</formula>
    </cfRule>
  </conditionalFormatting>
  <conditionalFormatting sqref="I95">
    <cfRule type="expression" dxfId="247" priority="223">
      <formula>$I95&lt;0</formula>
    </cfRule>
  </conditionalFormatting>
  <conditionalFormatting sqref="I96">
    <cfRule type="expression" dxfId="246" priority="222">
      <formula>$I96&lt;0</formula>
    </cfRule>
  </conditionalFormatting>
  <conditionalFormatting sqref="I97">
    <cfRule type="expression" dxfId="245" priority="221">
      <formula>$I97&lt;0</formula>
    </cfRule>
  </conditionalFormatting>
  <conditionalFormatting sqref="I98">
    <cfRule type="expression" dxfId="244" priority="220">
      <formula>$I98&lt;0</formula>
    </cfRule>
  </conditionalFormatting>
  <conditionalFormatting sqref="I99">
    <cfRule type="expression" dxfId="243" priority="219">
      <formula>$I99&lt;0</formula>
    </cfRule>
  </conditionalFormatting>
  <conditionalFormatting sqref="I100">
    <cfRule type="expression" dxfId="242" priority="218">
      <formula>$I100&lt;0</formula>
    </cfRule>
  </conditionalFormatting>
  <conditionalFormatting sqref="I101">
    <cfRule type="expression" dxfId="241" priority="217">
      <formula>$I101&lt;0</formula>
    </cfRule>
  </conditionalFormatting>
  <conditionalFormatting sqref="I102">
    <cfRule type="expression" dxfId="240" priority="216">
      <formula>$I102&lt;0</formula>
    </cfRule>
  </conditionalFormatting>
  <conditionalFormatting sqref="I103">
    <cfRule type="expression" dxfId="239" priority="215">
      <formula>$I103&lt;0</formula>
    </cfRule>
  </conditionalFormatting>
  <conditionalFormatting sqref="I104">
    <cfRule type="expression" dxfId="238" priority="214">
      <formula>$I104&lt;0</formula>
    </cfRule>
  </conditionalFormatting>
  <conditionalFormatting sqref="I105">
    <cfRule type="expression" dxfId="237" priority="213">
      <formula>$I105&lt;0</formula>
    </cfRule>
  </conditionalFormatting>
  <conditionalFormatting sqref="I106">
    <cfRule type="expression" dxfId="236" priority="212">
      <formula>$I106&lt;0</formula>
    </cfRule>
  </conditionalFormatting>
  <conditionalFormatting sqref="I107">
    <cfRule type="expression" dxfId="235" priority="211">
      <formula>$I107&lt;0</formula>
    </cfRule>
  </conditionalFormatting>
  <conditionalFormatting sqref="I108">
    <cfRule type="expression" dxfId="234" priority="210">
      <formula>$I108&lt;0</formula>
    </cfRule>
  </conditionalFormatting>
  <conditionalFormatting sqref="I109">
    <cfRule type="cellIs" dxfId="233" priority="209" operator="lessThan">
      <formula>0</formula>
    </cfRule>
  </conditionalFormatting>
  <conditionalFormatting sqref="I110">
    <cfRule type="expression" dxfId="232" priority="208">
      <formula>$I110&lt;0</formula>
    </cfRule>
  </conditionalFormatting>
  <conditionalFormatting sqref="I111">
    <cfRule type="cellIs" dxfId="231" priority="207" operator="lessThan">
      <formula>0</formula>
    </cfRule>
  </conditionalFormatting>
  <conditionalFormatting sqref="I112">
    <cfRule type="cellIs" dxfId="230" priority="206" operator="lessThan">
      <formula>0</formula>
    </cfRule>
  </conditionalFormatting>
  <conditionalFormatting sqref="I113">
    <cfRule type="expression" dxfId="229" priority="205">
      <formula>$I113&lt;0</formula>
    </cfRule>
  </conditionalFormatting>
  <conditionalFormatting sqref="I114">
    <cfRule type="expression" dxfId="228" priority="204">
      <formula>$I114&lt;0</formula>
    </cfRule>
  </conditionalFormatting>
  <conditionalFormatting sqref="I115">
    <cfRule type="expression" dxfId="227" priority="203">
      <formula>$I115&lt;0</formula>
    </cfRule>
  </conditionalFormatting>
  <conditionalFormatting sqref="I116">
    <cfRule type="expression" dxfId="226" priority="202">
      <formula>$I116&lt;0</formula>
    </cfRule>
  </conditionalFormatting>
  <conditionalFormatting sqref="I117">
    <cfRule type="expression" dxfId="225" priority="201">
      <formula>$I117&lt;0</formula>
    </cfRule>
  </conditionalFormatting>
  <conditionalFormatting sqref="I118">
    <cfRule type="expression" dxfId="224" priority="200">
      <formula>$I118&lt;0</formula>
    </cfRule>
  </conditionalFormatting>
  <conditionalFormatting sqref="I119">
    <cfRule type="expression" dxfId="223" priority="199">
      <formula>$I119&lt;0</formula>
    </cfRule>
  </conditionalFormatting>
  <conditionalFormatting sqref="I120">
    <cfRule type="expression" dxfId="222" priority="198">
      <formula>$I120&lt;0</formula>
    </cfRule>
  </conditionalFormatting>
  <conditionalFormatting sqref="I121">
    <cfRule type="expression" dxfId="221" priority="197">
      <formula>$I121&lt;0</formula>
    </cfRule>
  </conditionalFormatting>
  <conditionalFormatting sqref="I122">
    <cfRule type="expression" dxfId="220" priority="196">
      <formula>$I122&lt;0</formula>
    </cfRule>
  </conditionalFormatting>
  <conditionalFormatting sqref="I123">
    <cfRule type="expression" dxfId="219" priority="195">
      <formula>$I123&lt;0</formula>
    </cfRule>
  </conditionalFormatting>
  <conditionalFormatting sqref="I124">
    <cfRule type="expression" dxfId="218" priority="194">
      <formula>$I124&lt;0</formula>
    </cfRule>
  </conditionalFormatting>
  <conditionalFormatting sqref="I125">
    <cfRule type="expression" dxfId="217" priority="193">
      <formula>$I125&lt;0</formula>
    </cfRule>
  </conditionalFormatting>
  <conditionalFormatting sqref="I126">
    <cfRule type="expression" dxfId="216" priority="192">
      <formula>$I126&lt;0</formula>
    </cfRule>
  </conditionalFormatting>
  <conditionalFormatting sqref="I127">
    <cfRule type="expression" dxfId="215" priority="191">
      <formula>$I127&lt;0</formula>
    </cfRule>
  </conditionalFormatting>
  <conditionalFormatting sqref="I128">
    <cfRule type="expression" dxfId="214" priority="190">
      <formula>$I128&lt;0</formula>
    </cfRule>
  </conditionalFormatting>
  <conditionalFormatting sqref="I129">
    <cfRule type="expression" dxfId="213" priority="189">
      <formula>$I129&lt;0</formula>
    </cfRule>
  </conditionalFormatting>
  <conditionalFormatting sqref="I130">
    <cfRule type="expression" dxfId="212" priority="188">
      <formula>$I130&lt;0</formula>
    </cfRule>
  </conditionalFormatting>
  <conditionalFormatting sqref="I131">
    <cfRule type="expression" dxfId="211" priority="187">
      <formula>$I131&lt;0</formula>
    </cfRule>
  </conditionalFormatting>
  <conditionalFormatting sqref="I132">
    <cfRule type="expression" dxfId="210" priority="186">
      <formula>$I132&lt;0</formula>
    </cfRule>
  </conditionalFormatting>
  <conditionalFormatting sqref="I133">
    <cfRule type="expression" dxfId="209" priority="185">
      <formula>$I133&lt;0</formula>
    </cfRule>
  </conditionalFormatting>
  <conditionalFormatting sqref="I134">
    <cfRule type="expression" dxfId="208" priority="184">
      <formula>$I134&lt;0</formula>
    </cfRule>
  </conditionalFormatting>
  <conditionalFormatting sqref="I135">
    <cfRule type="expression" dxfId="207" priority="183">
      <formula>$I135&lt;0</formula>
    </cfRule>
  </conditionalFormatting>
  <conditionalFormatting sqref="I136">
    <cfRule type="expression" dxfId="206" priority="182">
      <formula>$I136&lt;0</formula>
    </cfRule>
  </conditionalFormatting>
  <conditionalFormatting sqref="I137">
    <cfRule type="expression" dxfId="205" priority="181">
      <formula>$I137&lt;0</formula>
    </cfRule>
  </conditionalFormatting>
  <conditionalFormatting sqref="I138">
    <cfRule type="expression" dxfId="204" priority="180">
      <formula>$I138&lt;0</formula>
    </cfRule>
  </conditionalFormatting>
  <conditionalFormatting sqref="I139">
    <cfRule type="expression" dxfId="203" priority="179">
      <formula>$I139&lt;0</formula>
    </cfRule>
  </conditionalFormatting>
  <conditionalFormatting sqref="I140">
    <cfRule type="expression" dxfId="202" priority="178">
      <formula>$I140&lt;0</formula>
    </cfRule>
  </conditionalFormatting>
  <conditionalFormatting sqref="I141">
    <cfRule type="expression" dxfId="201" priority="177">
      <formula>$I141&lt;0</formula>
    </cfRule>
  </conditionalFormatting>
  <conditionalFormatting sqref="I142">
    <cfRule type="expression" dxfId="200" priority="176">
      <formula>$I142&lt;0</formula>
    </cfRule>
  </conditionalFormatting>
  <conditionalFormatting sqref="I143">
    <cfRule type="expression" dxfId="199" priority="175">
      <formula>$I143&lt;0</formula>
    </cfRule>
  </conditionalFormatting>
  <conditionalFormatting sqref="I144">
    <cfRule type="expression" dxfId="198" priority="174">
      <formula>$I144&lt;0</formula>
    </cfRule>
  </conditionalFormatting>
  <conditionalFormatting sqref="I145">
    <cfRule type="expression" dxfId="197" priority="173">
      <formula>$I145&lt;0</formula>
    </cfRule>
  </conditionalFormatting>
  <conditionalFormatting sqref="I146">
    <cfRule type="expression" dxfId="196" priority="172">
      <formula>$I146&lt;0</formula>
    </cfRule>
  </conditionalFormatting>
  <conditionalFormatting sqref="I147">
    <cfRule type="expression" dxfId="195" priority="171">
      <formula>$I147&lt;0</formula>
    </cfRule>
  </conditionalFormatting>
  <conditionalFormatting sqref="I148">
    <cfRule type="expression" dxfId="194" priority="170">
      <formula>$I148&lt;0</formula>
    </cfRule>
  </conditionalFormatting>
  <conditionalFormatting sqref="I149">
    <cfRule type="expression" dxfId="193" priority="169">
      <formula>$I149&lt;0</formula>
    </cfRule>
  </conditionalFormatting>
  <conditionalFormatting sqref="I150">
    <cfRule type="expression" dxfId="192" priority="168">
      <formula>$I150&lt;0</formula>
    </cfRule>
  </conditionalFormatting>
  <conditionalFormatting sqref="I151">
    <cfRule type="expression" dxfId="191" priority="167">
      <formula>$I151&lt;0</formula>
    </cfRule>
  </conditionalFormatting>
  <conditionalFormatting sqref="I152">
    <cfRule type="expression" dxfId="190" priority="166">
      <formula>$I152&lt;0</formula>
    </cfRule>
  </conditionalFormatting>
  <conditionalFormatting sqref="I153">
    <cfRule type="expression" dxfId="189" priority="165">
      <formula>$I153&lt;0</formula>
    </cfRule>
  </conditionalFormatting>
  <conditionalFormatting sqref="I154">
    <cfRule type="expression" dxfId="188" priority="164">
      <formula>$I154&lt;0</formula>
    </cfRule>
  </conditionalFormatting>
  <conditionalFormatting sqref="I155">
    <cfRule type="expression" dxfId="187" priority="163">
      <formula>$I155&lt;0</formula>
    </cfRule>
  </conditionalFormatting>
  <conditionalFormatting sqref="I156">
    <cfRule type="expression" dxfId="186" priority="162">
      <formula>$I156&lt;0</formula>
    </cfRule>
  </conditionalFormatting>
  <conditionalFormatting sqref="I157">
    <cfRule type="expression" dxfId="185" priority="161">
      <formula>$I157&lt;0</formula>
    </cfRule>
  </conditionalFormatting>
  <conditionalFormatting sqref="I158">
    <cfRule type="expression" dxfId="184" priority="160">
      <formula>$I158&lt;0</formula>
    </cfRule>
  </conditionalFormatting>
  <conditionalFormatting sqref="I159">
    <cfRule type="expression" dxfId="183" priority="159">
      <formula>$I159&lt;0</formula>
    </cfRule>
  </conditionalFormatting>
  <conditionalFormatting sqref="I160">
    <cfRule type="expression" dxfId="182" priority="158">
      <formula>$I160&lt;0</formula>
    </cfRule>
  </conditionalFormatting>
  <conditionalFormatting sqref="I161">
    <cfRule type="expression" dxfId="181" priority="157">
      <formula>$I161&lt;0</formula>
    </cfRule>
  </conditionalFormatting>
  <conditionalFormatting sqref="I162">
    <cfRule type="expression" dxfId="180" priority="156">
      <formula>$I162&lt;0</formula>
    </cfRule>
  </conditionalFormatting>
  <conditionalFormatting sqref="I163">
    <cfRule type="expression" dxfId="179" priority="155">
      <formula>$I163&lt;0</formula>
    </cfRule>
  </conditionalFormatting>
  <conditionalFormatting sqref="I164">
    <cfRule type="expression" dxfId="178" priority="154">
      <formula>$I164&lt;0</formula>
    </cfRule>
  </conditionalFormatting>
  <conditionalFormatting sqref="I165">
    <cfRule type="expression" dxfId="177" priority="153">
      <formula>$I165&lt;0</formula>
    </cfRule>
  </conditionalFormatting>
  <conditionalFormatting sqref="I166">
    <cfRule type="expression" dxfId="176" priority="152">
      <formula>$I166&lt;0</formula>
    </cfRule>
  </conditionalFormatting>
  <conditionalFormatting sqref="I167">
    <cfRule type="expression" dxfId="175" priority="151">
      <formula>$I167&lt;0</formula>
    </cfRule>
  </conditionalFormatting>
  <conditionalFormatting sqref="I168">
    <cfRule type="expression" dxfId="174" priority="150">
      <formula>$I168&lt;0</formula>
    </cfRule>
  </conditionalFormatting>
  <conditionalFormatting sqref="I169">
    <cfRule type="expression" dxfId="173" priority="149">
      <formula>$I169&lt;0</formula>
    </cfRule>
  </conditionalFormatting>
  <conditionalFormatting sqref="I170">
    <cfRule type="expression" dxfId="172" priority="148">
      <formula>$I170&lt;0</formula>
    </cfRule>
  </conditionalFormatting>
  <conditionalFormatting sqref="I171">
    <cfRule type="cellIs" dxfId="171" priority="147" operator="lessThan">
      <formula>0</formula>
    </cfRule>
  </conditionalFormatting>
  <conditionalFormatting sqref="I172">
    <cfRule type="expression" dxfId="170" priority="146">
      <formula>$I172&lt;0</formula>
    </cfRule>
  </conditionalFormatting>
  <conditionalFormatting sqref="I173">
    <cfRule type="expression" dxfId="169" priority="145">
      <formula>$I173&lt;0</formula>
    </cfRule>
  </conditionalFormatting>
  <conditionalFormatting sqref="I174">
    <cfRule type="expression" dxfId="168" priority="144">
      <formula>$I174&lt;0</formula>
    </cfRule>
  </conditionalFormatting>
  <conditionalFormatting sqref="I175">
    <cfRule type="expression" dxfId="167" priority="143">
      <formula>$I175&lt;0</formula>
    </cfRule>
  </conditionalFormatting>
  <conditionalFormatting sqref="I176">
    <cfRule type="expression" dxfId="166" priority="142">
      <formula>$I176&lt;0</formula>
    </cfRule>
  </conditionalFormatting>
  <conditionalFormatting sqref="I177">
    <cfRule type="expression" dxfId="165" priority="141">
      <formula>$I177&lt;0</formula>
    </cfRule>
  </conditionalFormatting>
  <conditionalFormatting sqref="I178">
    <cfRule type="expression" dxfId="164" priority="140">
      <formula>$I178&lt;0</formula>
    </cfRule>
  </conditionalFormatting>
  <conditionalFormatting sqref="I179">
    <cfRule type="expression" dxfId="163" priority="139">
      <formula>$I179&lt;0</formula>
    </cfRule>
  </conditionalFormatting>
  <conditionalFormatting sqref="I180">
    <cfRule type="expression" dxfId="162" priority="138">
      <formula>$I180&lt;0</formula>
    </cfRule>
  </conditionalFormatting>
  <conditionalFormatting sqref="I181">
    <cfRule type="expression" dxfId="161" priority="137">
      <formula>$I181&lt;0</formula>
    </cfRule>
  </conditionalFormatting>
  <conditionalFormatting sqref="I182">
    <cfRule type="expression" dxfId="160" priority="136">
      <formula>$I182&lt;0</formula>
    </cfRule>
  </conditionalFormatting>
  <conditionalFormatting sqref="I183">
    <cfRule type="expression" dxfId="159" priority="135">
      <formula>$I183&lt;0</formula>
    </cfRule>
  </conditionalFormatting>
  <conditionalFormatting sqref="I184">
    <cfRule type="expression" dxfId="158" priority="134">
      <formula>$I184&lt;0</formula>
    </cfRule>
  </conditionalFormatting>
  <conditionalFormatting sqref="I185">
    <cfRule type="expression" dxfId="157" priority="133">
      <formula>$I185&lt;0</formula>
    </cfRule>
  </conditionalFormatting>
  <conditionalFormatting sqref="I186">
    <cfRule type="expression" dxfId="156" priority="132">
      <formula>$I186&lt;0</formula>
    </cfRule>
  </conditionalFormatting>
  <conditionalFormatting sqref="I187">
    <cfRule type="expression" dxfId="155" priority="131">
      <formula>$I187&lt;0</formula>
    </cfRule>
  </conditionalFormatting>
  <conditionalFormatting sqref="I188">
    <cfRule type="expression" dxfId="154" priority="130">
      <formula>$I188&lt;0</formula>
    </cfRule>
  </conditionalFormatting>
  <conditionalFormatting sqref="I189">
    <cfRule type="expression" dxfId="153" priority="129">
      <formula>$I189&lt;0</formula>
    </cfRule>
  </conditionalFormatting>
  <conditionalFormatting sqref="I190">
    <cfRule type="expression" dxfId="152" priority="128">
      <formula>$I190&lt;0</formula>
    </cfRule>
  </conditionalFormatting>
  <conditionalFormatting sqref="I191">
    <cfRule type="expression" dxfId="151" priority="127">
      <formula>$I191&lt;0</formula>
    </cfRule>
  </conditionalFormatting>
  <conditionalFormatting sqref="I192">
    <cfRule type="expression" dxfId="150" priority="126">
      <formula>$I192&lt;0</formula>
    </cfRule>
  </conditionalFormatting>
  <conditionalFormatting sqref="I193">
    <cfRule type="expression" dxfId="149" priority="125">
      <formula>$I193&lt;0</formula>
    </cfRule>
  </conditionalFormatting>
  <conditionalFormatting sqref="I194">
    <cfRule type="expression" dxfId="148" priority="124">
      <formula>$I194&lt;0</formula>
    </cfRule>
  </conditionalFormatting>
  <conditionalFormatting sqref="I195">
    <cfRule type="expression" dxfId="147" priority="123">
      <formula>$I195&lt;0</formula>
    </cfRule>
  </conditionalFormatting>
  <conditionalFormatting sqref="I196">
    <cfRule type="expression" dxfId="146" priority="122">
      <formula>$I196&lt;0</formula>
    </cfRule>
  </conditionalFormatting>
  <conditionalFormatting sqref="I197">
    <cfRule type="expression" dxfId="145" priority="121">
      <formula>$I197&lt;0</formula>
    </cfRule>
  </conditionalFormatting>
  <conditionalFormatting sqref="I198">
    <cfRule type="expression" dxfId="144" priority="120">
      <formula>$I198&lt;0</formula>
    </cfRule>
  </conditionalFormatting>
  <conditionalFormatting sqref="I199">
    <cfRule type="expression" dxfId="143" priority="119">
      <formula>$I199&lt;0</formula>
    </cfRule>
  </conditionalFormatting>
  <conditionalFormatting sqref="I200">
    <cfRule type="expression" dxfId="142" priority="118">
      <formula>$I200&lt;0</formula>
    </cfRule>
  </conditionalFormatting>
  <conditionalFormatting sqref="I201">
    <cfRule type="expression" dxfId="141" priority="117">
      <formula>$I201&lt;0</formula>
    </cfRule>
  </conditionalFormatting>
  <conditionalFormatting sqref="I202">
    <cfRule type="expression" dxfId="140" priority="116">
      <formula>$I202&lt;0</formula>
    </cfRule>
  </conditionalFormatting>
  <conditionalFormatting sqref="I203">
    <cfRule type="expression" dxfId="139" priority="115">
      <formula>$I203&lt;0</formula>
    </cfRule>
  </conditionalFormatting>
  <conditionalFormatting sqref="I204">
    <cfRule type="expression" dxfId="138" priority="114">
      <formula>$I204&lt;0</formula>
    </cfRule>
  </conditionalFormatting>
  <conditionalFormatting sqref="I205">
    <cfRule type="expression" dxfId="137" priority="113">
      <formula>$I205&lt;0</formula>
    </cfRule>
  </conditionalFormatting>
  <conditionalFormatting sqref="I206">
    <cfRule type="expression" dxfId="136" priority="112">
      <formula>$I206&lt;0</formula>
    </cfRule>
  </conditionalFormatting>
  <conditionalFormatting sqref="I207">
    <cfRule type="expression" dxfId="135" priority="111">
      <formula>$I207&lt;0</formula>
    </cfRule>
  </conditionalFormatting>
  <conditionalFormatting sqref="I208">
    <cfRule type="expression" dxfId="134" priority="110">
      <formula>$I208&lt;0</formula>
    </cfRule>
  </conditionalFormatting>
  <conditionalFormatting sqref="I209">
    <cfRule type="expression" dxfId="133" priority="109">
      <formula>$I209&lt;0</formula>
    </cfRule>
  </conditionalFormatting>
  <conditionalFormatting sqref="I210">
    <cfRule type="expression" dxfId="132" priority="108">
      <formula>$I210&lt;0</formula>
    </cfRule>
  </conditionalFormatting>
  <conditionalFormatting sqref="I211">
    <cfRule type="expression" dxfId="131" priority="107">
      <formula>$I211&lt;0</formula>
    </cfRule>
  </conditionalFormatting>
  <conditionalFormatting sqref="I212">
    <cfRule type="expression" dxfId="130" priority="106">
      <formula>$I212&lt;0</formula>
    </cfRule>
  </conditionalFormatting>
  <conditionalFormatting sqref="I213">
    <cfRule type="expression" dxfId="129" priority="105">
      <formula>$I213&lt;0</formula>
    </cfRule>
  </conditionalFormatting>
  <conditionalFormatting sqref="I214">
    <cfRule type="expression" dxfId="128" priority="104">
      <formula>$I214&lt;0</formula>
    </cfRule>
  </conditionalFormatting>
  <conditionalFormatting sqref="I215">
    <cfRule type="expression" dxfId="127" priority="103">
      <formula>$I215&lt;0</formula>
    </cfRule>
  </conditionalFormatting>
  <conditionalFormatting sqref="I216">
    <cfRule type="expression" dxfId="126" priority="102">
      <formula>$I216&lt;0</formula>
    </cfRule>
  </conditionalFormatting>
  <conditionalFormatting sqref="I217">
    <cfRule type="expression" dxfId="125" priority="101">
      <formula>$I217&lt;0</formula>
    </cfRule>
  </conditionalFormatting>
  <conditionalFormatting sqref="I218">
    <cfRule type="expression" dxfId="124" priority="100">
      <formula>$I218&lt;0</formula>
    </cfRule>
  </conditionalFormatting>
  <conditionalFormatting sqref="I219">
    <cfRule type="expression" dxfId="123" priority="99">
      <formula>$I219&lt;0</formula>
    </cfRule>
  </conditionalFormatting>
  <conditionalFormatting sqref="I220">
    <cfRule type="expression" dxfId="122" priority="98">
      <formula>$I220&lt;0</formula>
    </cfRule>
  </conditionalFormatting>
  <conditionalFormatting sqref="I221">
    <cfRule type="expression" dxfId="121" priority="97">
      <formula>$I221&lt;0</formula>
    </cfRule>
  </conditionalFormatting>
  <conditionalFormatting sqref="I222">
    <cfRule type="expression" dxfId="120" priority="96">
      <formula>$I222&lt;0</formula>
    </cfRule>
  </conditionalFormatting>
  <conditionalFormatting sqref="I223">
    <cfRule type="expression" dxfId="119" priority="95">
      <formula>$I223&lt;0</formula>
    </cfRule>
  </conditionalFormatting>
  <conditionalFormatting sqref="I224">
    <cfRule type="expression" dxfId="118" priority="94">
      <formula>$I224&lt;0</formula>
    </cfRule>
  </conditionalFormatting>
  <conditionalFormatting sqref="I225">
    <cfRule type="expression" dxfId="117" priority="93">
      <formula>$I225&lt;0</formula>
    </cfRule>
  </conditionalFormatting>
  <conditionalFormatting sqref="I226">
    <cfRule type="expression" dxfId="116" priority="92">
      <formula>$I226&lt;0</formula>
    </cfRule>
  </conditionalFormatting>
  <conditionalFormatting sqref="I227">
    <cfRule type="expression" dxfId="115" priority="91">
      <formula>$I227&lt;0</formula>
    </cfRule>
  </conditionalFormatting>
  <conditionalFormatting sqref="I228">
    <cfRule type="expression" dxfId="114" priority="90">
      <formula>$I228&lt;0</formula>
    </cfRule>
  </conditionalFormatting>
  <conditionalFormatting sqref="I229">
    <cfRule type="expression" dxfId="113" priority="89">
      <formula>$I229&lt;0</formula>
    </cfRule>
  </conditionalFormatting>
  <conditionalFormatting sqref="I230">
    <cfRule type="expression" dxfId="112" priority="88">
      <formula>$I230&lt;0</formula>
    </cfRule>
  </conditionalFormatting>
  <conditionalFormatting sqref="I231">
    <cfRule type="expression" dxfId="111" priority="87">
      <formula>$I231&lt;0</formula>
    </cfRule>
  </conditionalFormatting>
  <conditionalFormatting sqref="I232">
    <cfRule type="expression" dxfId="110" priority="86">
      <formula>$I232&lt;0</formula>
    </cfRule>
  </conditionalFormatting>
  <conditionalFormatting sqref="I233">
    <cfRule type="expression" dxfId="109" priority="85">
      <formula>$I233&lt;0</formula>
    </cfRule>
  </conditionalFormatting>
  <conditionalFormatting sqref="I234">
    <cfRule type="expression" dxfId="108" priority="84">
      <formula>$I234&lt;0</formula>
    </cfRule>
  </conditionalFormatting>
  <conditionalFormatting sqref="I235">
    <cfRule type="expression" dxfId="107" priority="83">
      <formula>$I235&lt;0</formula>
    </cfRule>
  </conditionalFormatting>
  <conditionalFormatting sqref="I236">
    <cfRule type="expression" dxfId="106" priority="82">
      <formula>$I236&lt;0</formula>
    </cfRule>
  </conditionalFormatting>
  <conditionalFormatting sqref="I237">
    <cfRule type="expression" dxfId="105" priority="81">
      <formula>$I237&lt;0</formula>
    </cfRule>
  </conditionalFormatting>
  <conditionalFormatting sqref="I238">
    <cfRule type="expression" dxfId="104" priority="80">
      <formula>$I238&lt;0</formula>
    </cfRule>
  </conditionalFormatting>
  <conditionalFormatting sqref="I239">
    <cfRule type="expression" dxfId="103" priority="79">
      <formula>$I239&lt;0</formula>
    </cfRule>
  </conditionalFormatting>
  <conditionalFormatting sqref="I240">
    <cfRule type="expression" dxfId="102" priority="78">
      <formula>$I240&lt;0</formula>
    </cfRule>
  </conditionalFormatting>
  <conditionalFormatting sqref="I241">
    <cfRule type="expression" dxfId="101" priority="77">
      <formula>$I241&lt;0</formula>
    </cfRule>
  </conditionalFormatting>
  <conditionalFormatting sqref="I242">
    <cfRule type="expression" dxfId="100" priority="76">
      <formula>$I242&lt;0</formula>
    </cfRule>
  </conditionalFormatting>
  <conditionalFormatting sqref="I243">
    <cfRule type="expression" dxfId="99" priority="75">
      <formula>$I243&lt;0</formula>
    </cfRule>
  </conditionalFormatting>
  <conditionalFormatting sqref="I244">
    <cfRule type="expression" dxfId="98" priority="74">
      <formula>$I244&lt;0</formula>
    </cfRule>
  </conditionalFormatting>
  <conditionalFormatting sqref="I245">
    <cfRule type="expression" dxfId="97" priority="73">
      <formula>$I245&lt;0</formula>
    </cfRule>
  </conditionalFormatting>
  <conditionalFormatting sqref="I246">
    <cfRule type="expression" dxfId="96" priority="72">
      <formula>$I246&lt;0</formula>
    </cfRule>
  </conditionalFormatting>
  <conditionalFormatting sqref="I247">
    <cfRule type="expression" dxfId="95" priority="71">
      <formula>$I247&lt;0</formula>
    </cfRule>
  </conditionalFormatting>
  <conditionalFormatting sqref="I248">
    <cfRule type="expression" dxfId="94" priority="70">
      <formula>$I248&lt;0</formula>
    </cfRule>
  </conditionalFormatting>
  <conditionalFormatting sqref="I249">
    <cfRule type="expression" dxfId="93" priority="69">
      <formula>$I249&lt;0</formula>
    </cfRule>
  </conditionalFormatting>
  <conditionalFormatting sqref="I250">
    <cfRule type="expression" dxfId="92" priority="68">
      <formula>$I250&lt;0</formula>
    </cfRule>
  </conditionalFormatting>
  <conditionalFormatting sqref="I251">
    <cfRule type="expression" dxfId="91" priority="67">
      <formula>$I251&lt;0</formula>
    </cfRule>
  </conditionalFormatting>
  <conditionalFormatting sqref="I252">
    <cfRule type="expression" dxfId="90" priority="66">
      <formula>$I252&lt;0</formula>
    </cfRule>
  </conditionalFormatting>
  <conditionalFormatting sqref="I253">
    <cfRule type="expression" dxfId="89" priority="65">
      <formula>$I253&lt;0</formula>
    </cfRule>
  </conditionalFormatting>
  <conditionalFormatting sqref="I254">
    <cfRule type="expression" dxfId="88" priority="64">
      <formula>$I254&lt;0</formula>
    </cfRule>
  </conditionalFormatting>
  <conditionalFormatting sqref="I255">
    <cfRule type="expression" dxfId="87" priority="63">
      <formula>$I255&lt;0</formula>
    </cfRule>
  </conditionalFormatting>
  <conditionalFormatting sqref="I256">
    <cfRule type="expression" dxfId="86" priority="62">
      <formula>$I256&lt;0</formula>
    </cfRule>
  </conditionalFormatting>
  <conditionalFormatting sqref="I257">
    <cfRule type="expression" dxfId="85" priority="61">
      <formula>$I257&lt;0</formula>
    </cfRule>
  </conditionalFormatting>
  <conditionalFormatting sqref="I258">
    <cfRule type="expression" dxfId="84" priority="60">
      <formula>$I258&lt;0</formula>
    </cfRule>
  </conditionalFormatting>
  <conditionalFormatting sqref="I259">
    <cfRule type="expression" dxfId="83" priority="59">
      <formula>$I259&lt;0</formula>
    </cfRule>
  </conditionalFormatting>
  <conditionalFormatting sqref="I260">
    <cfRule type="expression" dxfId="82" priority="58">
      <formula>$I260&lt;0</formula>
    </cfRule>
  </conditionalFormatting>
  <conditionalFormatting sqref="I261">
    <cfRule type="expression" dxfId="81" priority="57">
      <formula>$I261&lt;0</formula>
    </cfRule>
  </conditionalFormatting>
  <conditionalFormatting sqref="I262">
    <cfRule type="expression" dxfId="80" priority="56">
      <formula>$I262&lt;0</formula>
    </cfRule>
  </conditionalFormatting>
  <conditionalFormatting sqref="I263">
    <cfRule type="expression" dxfId="79" priority="55">
      <formula>$I263&lt;0</formula>
    </cfRule>
  </conditionalFormatting>
  <conditionalFormatting sqref="I264">
    <cfRule type="expression" dxfId="78" priority="54">
      <formula>$I264&lt;0</formula>
    </cfRule>
  </conditionalFormatting>
  <conditionalFormatting sqref="I265">
    <cfRule type="expression" dxfId="77" priority="53">
      <formula>$I265&lt;0</formula>
    </cfRule>
  </conditionalFormatting>
  <conditionalFormatting sqref="I266">
    <cfRule type="expression" dxfId="76" priority="52">
      <formula>$I266&lt;0</formula>
    </cfRule>
  </conditionalFormatting>
  <conditionalFormatting sqref="I267">
    <cfRule type="expression" dxfId="75" priority="51">
      <formula>$I267&lt;0</formula>
    </cfRule>
  </conditionalFormatting>
  <conditionalFormatting sqref="I268">
    <cfRule type="expression" dxfId="74" priority="50">
      <formula>$I268&lt;0</formula>
    </cfRule>
  </conditionalFormatting>
  <conditionalFormatting sqref="I269">
    <cfRule type="expression" dxfId="73" priority="49">
      <formula>$I269&lt;0</formula>
    </cfRule>
  </conditionalFormatting>
  <conditionalFormatting sqref="I270">
    <cfRule type="expression" dxfId="72" priority="48">
      <formula>$I270&lt;0</formula>
    </cfRule>
  </conditionalFormatting>
  <conditionalFormatting sqref="I271">
    <cfRule type="expression" dxfId="71" priority="47">
      <formula>$I271&lt;0</formula>
    </cfRule>
  </conditionalFormatting>
  <conditionalFormatting sqref="I272">
    <cfRule type="expression" dxfId="70" priority="46">
      <formula>$I272&lt;0</formula>
    </cfRule>
  </conditionalFormatting>
  <conditionalFormatting sqref="I273">
    <cfRule type="expression" dxfId="69" priority="45">
      <formula>$I273&lt;0</formula>
    </cfRule>
  </conditionalFormatting>
  <conditionalFormatting sqref="I274">
    <cfRule type="expression" dxfId="68" priority="44">
      <formula>$I274&lt;0</formula>
    </cfRule>
  </conditionalFormatting>
  <conditionalFormatting sqref="I275">
    <cfRule type="expression" dxfId="67" priority="43">
      <formula>$I275&lt;0</formula>
    </cfRule>
  </conditionalFormatting>
  <conditionalFormatting sqref="I276">
    <cfRule type="expression" dxfId="66" priority="42">
      <formula>$I276&lt;0</formula>
    </cfRule>
  </conditionalFormatting>
  <conditionalFormatting sqref="I277">
    <cfRule type="expression" dxfId="65" priority="41">
      <formula>$I277&lt;0</formula>
    </cfRule>
  </conditionalFormatting>
  <conditionalFormatting sqref="I278">
    <cfRule type="expression" dxfId="64" priority="40">
      <formula>$I278&lt;0</formula>
    </cfRule>
  </conditionalFormatting>
  <conditionalFormatting sqref="I279">
    <cfRule type="expression" dxfId="63" priority="39">
      <formula>$I279&lt;0</formula>
    </cfRule>
  </conditionalFormatting>
  <conditionalFormatting sqref="I280">
    <cfRule type="expression" dxfId="62" priority="38">
      <formula>$I280&lt;0</formula>
    </cfRule>
  </conditionalFormatting>
  <conditionalFormatting sqref="I281">
    <cfRule type="expression" dxfId="61" priority="37">
      <formula>$I281&lt;0</formula>
    </cfRule>
  </conditionalFormatting>
  <conditionalFormatting sqref="I282">
    <cfRule type="expression" dxfId="60" priority="36">
      <formula>$I282&lt;0</formula>
    </cfRule>
  </conditionalFormatting>
  <conditionalFormatting sqref="I283">
    <cfRule type="expression" dxfId="59" priority="35">
      <formula>$I283&lt;0</formula>
    </cfRule>
  </conditionalFormatting>
  <conditionalFormatting sqref="I284">
    <cfRule type="expression" dxfId="58" priority="34">
      <formula>$I284&lt;0</formula>
    </cfRule>
  </conditionalFormatting>
  <conditionalFormatting sqref="I285">
    <cfRule type="expression" dxfId="57" priority="33">
      <formula>$I285&lt;0</formula>
    </cfRule>
  </conditionalFormatting>
  <conditionalFormatting sqref="I286">
    <cfRule type="expression" dxfId="56" priority="32">
      <formula>$I286&lt;0</formula>
    </cfRule>
  </conditionalFormatting>
  <conditionalFormatting sqref="I287">
    <cfRule type="expression" dxfId="55" priority="31">
      <formula>$I287&lt;0</formula>
    </cfRule>
  </conditionalFormatting>
  <conditionalFormatting sqref="I288">
    <cfRule type="expression" dxfId="54" priority="30">
      <formula>$I288&lt;0</formula>
    </cfRule>
  </conditionalFormatting>
  <conditionalFormatting sqref="I289">
    <cfRule type="expression" dxfId="53" priority="29">
      <formula>$I289&lt;0</formula>
    </cfRule>
  </conditionalFormatting>
  <conditionalFormatting sqref="I290">
    <cfRule type="expression" dxfId="52" priority="28">
      <formula>$I290&lt;0</formula>
    </cfRule>
  </conditionalFormatting>
  <conditionalFormatting sqref="I291">
    <cfRule type="expression" dxfId="51" priority="27">
      <formula>$I291&lt;0</formula>
    </cfRule>
  </conditionalFormatting>
  <conditionalFormatting sqref="I292">
    <cfRule type="expression" dxfId="50" priority="26">
      <formula>$I292&lt;0</formula>
    </cfRule>
  </conditionalFormatting>
  <conditionalFormatting sqref="I293">
    <cfRule type="expression" dxfId="49" priority="25">
      <formula>$I293&lt;0</formula>
    </cfRule>
  </conditionalFormatting>
  <conditionalFormatting sqref="I294">
    <cfRule type="expression" dxfId="48" priority="24">
      <formula>$I294&lt;0</formula>
    </cfRule>
  </conditionalFormatting>
  <conditionalFormatting sqref="I295">
    <cfRule type="expression" dxfId="47" priority="23">
      <formula>$I295&lt;0</formula>
    </cfRule>
  </conditionalFormatting>
  <conditionalFormatting sqref="I296">
    <cfRule type="expression" dxfId="46" priority="22">
      <formula>$I296&lt;0</formula>
    </cfRule>
  </conditionalFormatting>
  <conditionalFormatting sqref="I297">
    <cfRule type="expression" dxfId="45" priority="21">
      <formula>$I297&lt;0</formula>
    </cfRule>
  </conditionalFormatting>
  <conditionalFormatting sqref="I298">
    <cfRule type="expression" dxfId="44" priority="20">
      <formula>$I298&lt;0</formula>
    </cfRule>
  </conditionalFormatting>
  <conditionalFormatting sqref="I299">
    <cfRule type="expression" dxfId="43" priority="19">
      <formula>$I299&lt;0</formula>
    </cfRule>
  </conditionalFormatting>
  <conditionalFormatting sqref="I300">
    <cfRule type="expression" dxfId="42" priority="18">
      <formula>$I300&lt;0</formula>
    </cfRule>
  </conditionalFormatting>
  <conditionalFormatting sqref="I301">
    <cfRule type="expression" dxfId="41" priority="17">
      <formula>$I301&lt;0</formula>
    </cfRule>
  </conditionalFormatting>
  <conditionalFormatting sqref="I302">
    <cfRule type="expression" dxfId="40" priority="16">
      <formula>$I302&lt;0</formula>
    </cfRule>
  </conditionalFormatting>
  <conditionalFormatting sqref="I303">
    <cfRule type="expression" dxfId="39" priority="15">
      <formula>$I303&lt;0</formula>
    </cfRule>
  </conditionalFormatting>
  <conditionalFormatting sqref="I304">
    <cfRule type="expression" dxfId="38" priority="14">
      <formula>$I304&lt;0</formula>
    </cfRule>
  </conditionalFormatting>
  <conditionalFormatting sqref="I305">
    <cfRule type="expression" dxfId="37" priority="13">
      <formula>$I305&lt;0</formula>
    </cfRule>
  </conditionalFormatting>
  <conditionalFormatting sqref="I306">
    <cfRule type="expression" dxfId="36" priority="12">
      <formula>$I306&lt;0</formula>
    </cfRule>
  </conditionalFormatting>
  <conditionalFormatting sqref="I307">
    <cfRule type="expression" dxfId="35" priority="11">
      <formula>$I307&lt;0</formula>
    </cfRule>
  </conditionalFormatting>
  <conditionalFormatting sqref="I308">
    <cfRule type="expression" dxfId="34" priority="10">
      <formula>$I308&lt;0</formula>
    </cfRule>
  </conditionalFormatting>
  <conditionalFormatting sqref="I309">
    <cfRule type="expression" dxfId="33" priority="9">
      <formula>$I309&lt;0</formula>
    </cfRule>
  </conditionalFormatting>
  <conditionalFormatting sqref="I310">
    <cfRule type="expression" dxfId="32" priority="8">
      <formula>$I310&lt;0</formula>
    </cfRule>
  </conditionalFormatting>
  <conditionalFormatting sqref="I311">
    <cfRule type="expression" dxfId="31" priority="7">
      <formula>$I311&lt;0</formula>
    </cfRule>
  </conditionalFormatting>
  <conditionalFormatting sqref="I312">
    <cfRule type="expression" dxfId="30" priority="6">
      <formula>$I312&lt;0</formula>
    </cfRule>
  </conditionalFormatting>
  <conditionalFormatting sqref="I313">
    <cfRule type="expression" dxfId="29" priority="5">
      <formula>$I313&lt;0</formula>
    </cfRule>
  </conditionalFormatting>
  <conditionalFormatting sqref="I314">
    <cfRule type="expression" dxfId="28" priority="4">
      <formula>$I314&lt;0</formula>
    </cfRule>
  </conditionalFormatting>
  <conditionalFormatting sqref="I315">
    <cfRule type="expression" dxfId="27" priority="3">
      <formula>$I315&lt;0</formula>
    </cfRule>
  </conditionalFormatting>
  <conditionalFormatting sqref="I316">
    <cfRule type="expression" dxfId="26" priority="2">
      <formula>$I316&lt;0</formula>
    </cfRule>
  </conditionalFormatting>
  <conditionalFormatting sqref="I317">
    <cfRule type="expression" dxfId="25" priority="1">
      <formula>$I317&lt;0</formula>
    </cfRule>
  </conditionalFormatting>
  <hyperlinks>
    <hyperlink ref="A2" r:id="rId1"/>
    <hyperlink ref="A3" r:id="rId2"/>
    <hyperlink ref="A4" r:id="rId3"/>
    <hyperlink ref="A5" r:id="rId4"/>
    <hyperlink ref="A6" r:id="rId5"/>
    <hyperlink ref="A7" r:id="rId6"/>
    <hyperlink ref="A8" r:id="rId7"/>
    <hyperlink ref="A9" r:id="rId8"/>
    <hyperlink ref="A10" r:id="rId9"/>
    <hyperlink ref="A11" r:id="rId10"/>
    <hyperlink ref="A12" r:id="rId11"/>
    <hyperlink ref="A13" r:id="rId12"/>
    <hyperlink ref="A14" r:id="rId13"/>
    <hyperlink ref="A15" r:id="rId14"/>
    <hyperlink ref="A16" r:id="rId15"/>
    <hyperlink ref="A17" r:id="rId16"/>
    <hyperlink ref="A18" r:id="rId17"/>
    <hyperlink ref="A19" r:id="rId18"/>
    <hyperlink ref="A20" r:id="rId19"/>
    <hyperlink ref="A21" r:id="rId20"/>
    <hyperlink ref="A22" r:id="rId21"/>
    <hyperlink ref="A23" r:id="rId22"/>
    <hyperlink ref="A24" r:id="rId23"/>
    <hyperlink ref="A25" r:id="rId24"/>
    <hyperlink ref="A26" r:id="rId25"/>
    <hyperlink ref="A27" r:id="rId26"/>
    <hyperlink ref="A28" r:id="rId27"/>
    <hyperlink ref="A29" r:id="rId28"/>
    <hyperlink ref="A30" r:id="rId29"/>
    <hyperlink ref="A31" r:id="rId30"/>
    <hyperlink ref="A32" r:id="rId31"/>
    <hyperlink ref="A33" r:id="rId32"/>
    <hyperlink ref="A34" r:id="rId33"/>
    <hyperlink ref="A35" r:id="rId34"/>
    <hyperlink ref="A36" r:id="rId35"/>
    <hyperlink ref="A37" r:id="rId36"/>
    <hyperlink ref="A38" r:id="rId37"/>
    <hyperlink ref="A39" r:id="rId38"/>
    <hyperlink ref="A40" r:id="rId39"/>
    <hyperlink ref="A41" r:id="rId40"/>
    <hyperlink ref="A42" r:id="rId41"/>
    <hyperlink ref="A43" r:id="rId42"/>
    <hyperlink ref="A44" r:id="rId43"/>
    <hyperlink ref="A45" r:id="rId44"/>
    <hyperlink ref="A46" r:id="rId45"/>
    <hyperlink ref="A47" r:id="rId46"/>
    <hyperlink ref="A48" r:id="rId47"/>
    <hyperlink ref="A49" r:id="rId48"/>
    <hyperlink ref="A50" r:id="rId49"/>
    <hyperlink ref="A51" r:id="rId50"/>
    <hyperlink ref="A52" r:id="rId51"/>
    <hyperlink ref="A53" r:id="rId52"/>
    <hyperlink ref="A54" r:id="rId53"/>
    <hyperlink ref="A55" r:id="rId54"/>
    <hyperlink ref="A56" r:id="rId55"/>
    <hyperlink ref="A57" r:id="rId56"/>
    <hyperlink ref="A58" r:id="rId57"/>
    <hyperlink ref="A59" r:id="rId58"/>
    <hyperlink ref="A60" r:id="rId59"/>
    <hyperlink ref="A61" r:id="rId60"/>
    <hyperlink ref="A62" r:id="rId61"/>
    <hyperlink ref="A63" r:id="rId62"/>
    <hyperlink ref="A64" r:id="rId63"/>
    <hyperlink ref="A65" r:id="rId64"/>
    <hyperlink ref="A66" r:id="rId65"/>
    <hyperlink ref="A67" r:id="rId66"/>
    <hyperlink ref="A68" r:id="rId67"/>
    <hyperlink ref="A69" r:id="rId68"/>
    <hyperlink ref="A70" r:id="rId69"/>
    <hyperlink ref="A71" r:id="rId70"/>
    <hyperlink ref="A72" r:id="rId71"/>
    <hyperlink ref="A73" r:id="rId72"/>
    <hyperlink ref="A74" r:id="rId73"/>
    <hyperlink ref="A75" r:id="rId74"/>
    <hyperlink ref="A76" r:id="rId75"/>
    <hyperlink ref="A77" r:id="rId76"/>
    <hyperlink ref="A78" r:id="rId77"/>
    <hyperlink ref="A79" r:id="rId78"/>
    <hyperlink ref="A80" r:id="rId79"/>
    <hyperlink ref="A81" r:id="rId80"/>
    <hyperlink ref="A82" r:id="rId81"/>
    <hyperlink ref="A83" r:id="rId82"/>
    <hyperlink ref="A84" r:id="rId83"/>
    <hyperlink ref="A85" r:id="rId84"/>
    <hyperlink ref="A86" r:id="rId85"/>
    <hyperlink ref="A87" r:id="rId86"/>
    <hyperlink ref="A88" r:id="rId87"/>
    <hyperlink ref="A89" r:id="rId88"/>
    <hyperlink ref="A90" r:id="rId89"/>
    <hyperlink ref="A92" r:id="rId90"/>
    <hyperlink ref="A91" r:id="rId91"/>
    <hyperlink ref="A93" r:id="rId92"/>
    <hyperlink ref="A100" r:id="rId93"/>
    <hyperlink ref="A94" r:id="rId94"/>
    <hyperlink ref="A95" r:id="rId95"/>
    <hyperlink ref="A96" r:id="rId96"/>
    <hyperlink ref="A101" r:id="rId97"/>
    <hyperlink ref="A97" r:id="rId98"/>
    <hyperlink ref="A98" r:id="rId99"/>
    <hyperlink ref="A102" r:id="rId100"/>
    <hyperlink ref="A103" r:id="rId101"/>
    <hyperlink ref="A99" r:id="rId102"/>
    <hyperlink ref="A104" r:id="rId103"/>
    <hyperlink ref="A105" r:id="rId104"/>
    <hyperlink ref="A106" r:id="rId105"/>
    <hyperlink ref="A107" r:id="rId106"/>
    <hyperlink ref="A108" r:id="rId107"/>
    <hyperlink ref="A109" r:id="rId108"/>
    <hyperlink ref="A110" r:id="rId109"/>
    <hyperlink ref="A111" r:id="rId110"/>
    <hyperlink ref="A112" r:id="rId111"/>
    <hyperlink ref="A113" r:id="rId112"/>
    <hyperlink ref="A114" r:id="rId113"/>
    <hyperlink ref="A115" r:id="rId114"/>
    <hyperlink ref="A116" r:id="rId115"/>
    <hyperlink ref="A117" r:id="rId116"/>
    <hyperlink ref="A118" r:id="rId117"/>
    <hyperlink ref="A122" r:id="rId118"/>
    <hyperlink ref="A119" r:id="rId119"/>
    <hyperlink ref="A120" r:id="rId120"/>
    <hyperlink ref="A121" r:id="rId121"/>
    <hyperlink ref="A123" r:id="rId122"/>
    <hyperlink ref="A124" r:id="rId123"/>
    <hyperlink ref="A125" r:id="rId124"/>
    <hyperlink ref="A126" r:id="rId125"/>
    <hyperlink ref="A127" r:id="rId126"/>
    <hyperlink ref="A128" r:id="rId127"/>
    <hyperlink ref="A129" r:id="rId128"/>
    <hyperlink ref="A130" r:id="rId129"/>
    <hyperlink ref="A131" r:id="rId130"/>
    <hyperlink ref="A132" r:id="rId131"/>
    <hyperlink ref="A133" r:id="rId132"/>
    <hyperlink ref="A134" r:id="rId133"/>
    <hyperlink ref="A135" r:id="rId134"/>
    <hyperlink ref="A136" r:id="rId135"/>
    <hyperlink ref="A137" r:id="rId136"/>
    <hyperlink ref="A138" r:id="rId137"/>
    <hyperlink ref="A139" r:id="rId138"/>
    <hyperlink ref="A140" r:id="rId139"/>
    <hyperlink ref="A141" r:id="rId140"/>
    <hyperlink ref="A142" r:id="rId141"/>
    <hyperlink ref="A143" r:id="rId142"/>
    <hyperlink ref="A144" r:id="rId143"/>
    <hyperlink ref="A145" r:id="rId144"/>
    <hyperlink ref="A146" r:id="rId145"/>
    <hyperlink ref="A147" r:id="rId146"/>
    <hyperlink ref="A148" r:id="rId147"/>
    <hyperlink ref="A149" r:id="rId148"/>
    <hyperlink ref="A150" r:id="rId149"/>
    <hyperlink ref="A151" r:id="rId150"/>
    <hyperlink ref="A152" r:id="rId151"/>
    <hyperlink ref="A153" r:id="rId152"/>
    <hyperlink ref="A154" r:id="rId153"/>
    <hyperlink ref="A155" r:id="rId154"/>
    <hyperlink ref="A156" r:id="rId155"/>
    <hyperlink ref="A157" r:id="rId156"/>
    <hyperlink ref="A158" r:id="rId157"/>
    <hyperlink ref="A159" r:id="rId158"/>
    <hyperlink ref="A160" r:id="rId159"/>
    <hyperlink ref="A161" r:id="rId160"/>
    <hyperlink ref="A162" r:id="rId161"/>
    <hyperlink ref="A163" r:id="rId162"/>
    <hyperlink ref="A164" r:id="rId163"/>
    <hyperlink ref="A165" r:id="rId164"/>
    <hyperlink ref="A166" r:id="rId165"/>
    <hyperlink ref="A167" r:id="rId166"/>
    <hyperlink ref="A168" r:id="rId167"/>
    <hyperlink ref="A169" r:id="rId168"/>
    <hyperlink ref="A170" r:id="rId169"/>
    <hyperlink ref="A171" r:id="rId170"/>
    <hyperlink ref="A172" r:id="rId171"/>
    <hyperlink ref="A173" r:id="rId172"/>
    <hyperlink ref="A174" r:id="rId173"/>
    <hyperlink ref="A175" r:id="rId174"/>
    <hyperlink ref="A176" r:id="rId175"/>
    <hyperlink ref="A177" r:id="rId176"/>
    <hyperlink ref="A178" r:id="rId177"/>
    <hyperlink ref="A179" r:id="rId178"/>
    <hyperlink ref="A180" r:id="rId179"/>
    <hyperlink ref="A181" r:id="rId180"/>
    <hyperlink ref="A182" r:id="rId181"/>
    <hyperlink ref="A183" r:id="rId182"/>
    <hyperlink ref="A184" r:id="rId183"/>
    <hyperlink ref="A185" r:id="rId184"/>
    <hyperlink ref="A186" r:id="rId185"/>
    <hyperlink ref="A187" r:id="rId186"/>
    <hyperlink ref="A188" r:id="rId187"/>
    <hyperlink ref="A189" r:id="rId188"/>
    <hyperlink ref="A190" r:id="rId189"/>
    <hyperlink ref="A191" r:id="rId190"/>
    <hyperlink ref="A192" r:id="rId191"/>
    <hyperlink ref="A193" r:id="rId192"/>
    <hyperlink ref="A194" r:id="rId193"/>
    <hyperlink ref="A195" r:id="rId194"/>
    <hyperlink ref="A196" r:id="rId195"/>
    <hyperlink ref="A197" r:id="rId196"/>
    <hyperlink ref="A198" r:id="rId197"/>
    <hyperlink ref="A200" r:id="rId198"/>
    <hyperlink ref="A201" r:id="rId199"/>
    <hyperlink ref="A202" r:id="rId200"/>
    <hyperlink ref="A203" r:id="rId201"/>
    <hyperlink ref="A204" r:id="rId202"/>
    <hyperlink ref="A199" r:id="rId203"/>
    <hyperlink ref="A205" r:id="rId204"/>
    <hyperlink ref="A206" r:id="rId205"/>
    <hyperlink ref="A207" r:id="rId206"/>
    <hyperlink ref="A208" r:id="rId207"/>
    <hyperlink ref="A209" r:id="rId208"/>
    <hyperlink ref="A210" r:id="rId209"/>
    <hyperlink ref="A211" r:id="rId210"/>
    <hyperlink ref="A212" r:id="rId211"/>
    <hyperlink ref="A213" r:id="rId212"/>
    <hyperlink ref="A214" r:id="rId213"/>
    <hyperlink ref="A215" r:id="rId214"/>
    <hyperlink ref="A218" r:id="rId215"/>
    <hyperlink ref="A216" r:id="rId216"/>
    <hyperlink ref="A217" r:id="rId217"/>
    <hyperlink ref="A219" r:id="rId218"/>
    <hyperlink ref="A220" r:id="rId219"/>
    <hyperlink ref="A221" r:id="rId220"/>
    <hyperlink ref="A222" r:id="rId221"/>
    <hyperlink ref="A223" r:id="rId222"/>
    <hyperlink ref="A224" r:id="rId223"/>
    <hyperlink ref="A225" r:id="rId224"/>
    <hyperlink ref="A226" r:id="rId225"/>
    <hyperlink ref="A227" r:id="rId226"/>
    <hyperlink ref="A228" r:id="rId227"/>
    <hyperlink ref="A229" r:id="rId228"/>
    <hyperlink ref="A230" r:id="rId229"/>
    <hyperlink ref="A231" r:id="rId230"/>
    <hyperlink ref="A232" r:id="rId231"/>
    <hyperlink ref="A233" r:id="rId232"/>
    <hyperlink ref="A234" r:id="rId233"/>
    <hyperlink ref="A235" r:id="rId234"/>
    <hyperlink ref="A236" r:id="rId235"/>
    <hyperlink ref="A237" r:id="rId236"/>
    <hyperlink ref="A238" r:id="rId237"/>
    <hyperlink ref="A239" r:id="rId238"/>
    <hyperlink ref="A240" r:id="rId239"/>
    <hyperlink ref="A241" r:id="rId240"/>
    <hyperlink ref="A242" r:id="rId241"/>
    <hyperlink ref="A243" r:id="rId242"/>
    <hyperlink ref="A244" r:id="rId243"/>
    <hyperlink ref="A245" r:id="rId244"/>
    <hyperlink ref="A246" r:id="rId245"/>
    <hyperlink ref="A247" r:id="rId246"/>
    <hyperlink ref="A248" r:id="rId247"/>
    <hyperlink ref="A249" r:id="rId248"/>
    <hyperlink ref="A250" r:id="rId249"/>
    <hyperlink ref="A251" r:id="rId250"/>
    <hyperlink ref="A252" r:id="rId251"/>
    <hyperlink ref="A253" r:id="rId252"/>
    <hyperlink ref="A254" r:id="rId253"/>
    <hyperlink ref="A255" r:id="rId254"/>
    <hyperlink ref="A256" r:id="rId255"/>
    <hyperlink ref="A257" r:id="rId256"/>
    <hyperlink ref="A258" r:id="rId257"/>
    <hyperlink ref="A259" r:id="rId258"/>
    <hyperlink ref="A260" r:id="rId259"/>
    <hyperlink ref="A261" r:id="rId260"/>
    <hyperlink ref="A262" r:id="rId261"/>
    <hyperlink ref="A263" r:id="rId262"/>
    <hyperlink ref="A264" r:id="rId263"/>
    <hyperlink ref="A265" r:id="rId264"/>
    <hyperlink ref="A266" r:id="rId265"/>
    <hyperlink ref="A267" r:id="rId266"/>
    <hyperlink ref="A268" r:id="rId267"/>
    <hyperlink ref="A269" r:id="rId268"/>
    <hyperlink ref="A270" r:id="rId269"/>
    <hyperlink ref="A271" r:id="rId270"/>
    <hyperlink ref="A272" r:id="rId271"/>
    <hyperlink ref="A273" r:id="rId272"/>
    <hyperlink ref="A274" r:id="rId273"/>
    <hyperlink ref="A275" r:id="rId274"/>
    <hyperlink ref="A276" r:id="rId275"/>
    <hyperlink ref="A277" r:id="rId276"/>
    <hyperlink ref="A278" r:id="rId277"/>
    <hyperlink ref="A279" r:id="rId278"/>
    <hyperlink ref="A280" r:id="rId279"/>
    <hyperlink ref="A281" r:id="rId280"/>
    <hyperlink ref="A282" r:id="rId281"/>
    <hyperlink ref="A283" r:id="rId282"/>
    <hyperlink ref="A284" r:id="rId283"/>
    <hyperlink ref="A285" r:id="rId284"/>
    <hyperlink ref="A286" r:id="rId285"/>
    <hyperlink ref="A287" r:id="rId286"/>
    <hyperlink ref="A288" r:id="rId287"/>
    <hyperlink ref="A289" r:id="rId288"/>
    <hyperlink ref="A290" r:id="rId289"/>
    <hyperlink ref="A291" r:id="rId290"/>
    <hyperlink ref="A292" r:id="rId291"/>
    <hyperlink ref="A293" r:id="rId292"/>
    <hyperlink ref="A294" r:id="rId293"/>
    <hyperlink ref="A295" r:id="rId294"/>
    <hyperlink ref="A296" r:id="rId295"/>
    <hyperlink ref="A297" r:id="rId296"/>
    <hyperlink ref="A298" r:id="rId297"/>
    <hyperlink ref="A299" r:id="rId298"/>
    <hyperlink ref="A300" r:id="rId299"/>
    <hyperlink ref="A301" r:id="rId300"/>
    <hyperlink ref="A302" r:id="rId301"/>
    <hyperlink ref="A303" r:id="rId302"/>
    <hyperlink ref="A304" r:id="rId303"/>
    <hyperlink ref="A305" r:id="rId304"/>
    <hyperlink ref="A306" r:id="rId305"/>
    <hyperlink ref="A307" r:id="rId306"/>
    <hyperlink ref="A308" r:id="rId307"/>
    <hyperlink ref="A309" r:id="rId308"/>
    <hyperlink ref="A310" r:id="rId309"/>
    <hyperlink ref="A311" r:id="rId310"/>
    <hyperlink ref="A312" r:id="rId311"/>
    <hyperlink ref="A313" r:id="rId312"/>
    <hyperlink ref="A314" r:id="rId313"/>
    <hyperlink ref="A315" r:id="rId314"/>
    <hyperlink ref="A316" r:id="rId315"/>
    <hyperlink ref="A317" r:id="rId316"/>
  </hyperlinks>
  <pageMargins left="0.18" right="0.18" top="0.31" bottom="0.39" header="0.18" footer="0.18"/>
  <pageSetup paperSize="3" scale="59" fitToHeight="7" orientation="landscape" r:id="rId317"/>
  <headerFooter alignWithMargins="0">
    <oddFooter>&amp;L&amp;A</oddFooter>
  </headerFooter>
  <legacyDrawing r:id="rId318"/>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indexed="20"/>
    <pageSetUpPr fitToPage="1"/>
  </sheetPr>
  <dimension ref="A1:R41"/>
  <sheetViews>
    <sheetView showRuler="0" zoomScale="60" zoomScaleNormal="60" zoomScaleSheetLayoutView="70" zoomScalePageLayoutView="70" workbookViewId="0">
      <pane ySplit="1" topLeftCell="A20" activePane="bottomLeft" state="frozen"/>
      <selection pane="bottomLeft" activeCell="A25" sqref="A25"/>
    </sheetView>
  </sheetViews>
  <sheetFormatPr defaultRowHeight="15" customHeight="1" x14ac:dyDescent="0.2"/>
  <cols>
    <col min="1" max="1" width="17.140625" style="20" hidden="1" customWidth="1"/>
    <col min="2" max="2" width="21.5703125" style="2" customWidth="1"/>
    <col min="3" max="3" width="15.7109375" style="20" customWidth="1"/>
    <col min="4" max="4" width="13.28515625" style="20" customWidth="1"/>
    <col min="5" max="5" width="60.85546875" style="20" customWidth="1"/>
    <col min="6" max="6" width="7.85546875" style="28" customWidth="1"/>
    <col min="7" max="7" width="15.140625" style="29" customWidth="1"/>
    <col min="8" max="8" width="14" style="29" customWidth="1"/>
    <col min="9" max="9" width="11.5703125" style="2" customWidth="1"/>
    <col min="10" max="10" width="15" style="93" customWidth="1"/>
    <col min="11" max="11" width="14.5703125" style="93" customWidth="1"/>
    <col min="12" max="12" width="12.140625" style="93" customWidth="1"/>
    <col min="13" max="13" width="16.42578125" style="93" customWidth="1"/>
    <col min="14" max="14" width="14.7109375" style="93" customWidth="1"/>
    <col min="15" max="15" width="14.42578125" style="93" customWidth="1"/>
    <col min="16" max="16" width="13" style="99" customWidth="1"/>
    <col min="17" max="17" width="44.5703125" style="20" customWidth="1"/>
    <col min="18" max="18" width="38.42578125" style="20" customWidth="1"/>
    <col min="19" max="16384" width="9.140625" style="20"/>
  </cols>
  <sheetData>
    <row r="1" spans="1:18" ht="30" x14ac:dyDescent="0.2">
      <c r="A1" s="16" t="s">
        <v>20</v>
      </c>
      <c r="B1" s="16" t="s">
        <v>47</v>
      </c>
      <c r="C1" s="16" t="s">
        <v>46</v>
      </c>
      <c r="D1" s="16" t="s">
        <v>48</v>
      </c>
      <c r="E1" s="16" t="s">
        <v>9</v>
      </c>
      <c r="F1" s="19" t="s">
        <v>18</v>
      </c>
      <c r="G1" s="19" t="s">
        <v>11</v>
      </c>
      <c r="H1" s="19" t="s">
        <v>10</v>
      </c>
      <c r="I1" s="17" t="s">
        <v>8</v>
      </c>
      <c r="J1" s="18" t="s">
        <v>12</v>
      </c>
      <c r="K1" s="18" t="s">
        <v>15</v>
      </c>
      <c r="L1" s="18" t="s">
        <v>17</v>
      </c>
      <c r="M1" s="17" t="s">
        <v>16</v>
      </c>
      <c r="N1" s="18" t="s">
        <v>13</v>
      </c>
      <c r="O1" s="18" t="s">
        <v>14</v>
      </c>
      <c r="P1" s="19" t="s">
        <v>49</v>
      </c>
      <c r="Q1" s="16" t="s">
        <v>50</v>
      </c>
      <c r="R1" s="16" t="s">
        <v>898</v>
      </c>
    </row>
    <row r="2" spans="1:18" ht="90" x14ac:dyDescent="0.2">
      <c r="A2" s="100" t="s">
        <v>809</v>
      </c>
      <c r="B2" s="101">
        <v>1080578776</v>
      </c>
      <c r="C2" s="102">
        <v>1080572955</v>
      </c>
      <c r="D2" s="102" t="s">
        <v>810</v>
      </c>
      <c r="E2" s="103" t="s">
        <v>811</v>
      </c>
      <c r="F2" s="104" t="s">
        <v>111</v>
      </c>
      <c r="G2" s="105">
        <v>40735</v>
      </c>
      <c r="H2" s="106">
        <v>40909</v>
      </c>
      <c r="I2" s="107">
        <f t="shared" ref="I2:I22" ca="1" si="0">IF(H2&lt;&gt;0,NETWORKDAYS(TODAY(),H2),"")</f>
        <v>-740</v>
      </c>
      <c r="J2" s="105" t="s">
        <v>88</v>
      </c>
      <c r="K2" s="105" t="s">
        <v>812</v>
      </c>
      <c r="L2" s="105" t="s">
        <v>813</v>
      </c>
      <c r="M2" s="105" t="s">
        <v>89</v>
      </c>
      <c r="N2" s="105" t="s">
        <v>814</v>
      </c>
      <c r="O2" s="105" t="s">
        <v>815</v>
      </c>
      <c r="P2" s="105" t="s">
        <v>816</v>
      </c>
      <c r="Q2" s="108"/>
      <c r="R2" s="70" t="s">
        <v>817</v>
      </c>
    </row>
    <row r="3" spans="1:18" ht="120" x14ac:dyDescent="0.2">
      <c r="A3" s="100" t="s">
        <v>818</v>
      </c>
      <c r="B3" s="101">
        <v>1080578795</v>
      </c>
      <c r="C3" s="102" t="s">
        <v>819</v>
      </c>
      <c r="D3" s="102" t="s">
        <v>820</v>
      </c>
      <c r="E3" s="103" t="s">
        <v>821</v>
      </c>
      <c r="F3" s="104" t="s">
        <v>111</v>
      </c>
      <c r="G3" s="105">
        <v>40736</v>
      </c>
      <c r="H3" s="106">
        <v>40940</v>
      </c>
      <c r="I3" s="107">
        <f t="shared" ca="1" si="0"/>
        <v>-718</v>
      </c>
      <c r="J3" s="105" t="s">
        <v>88</v>
      </c>
      <c r="K3" s="105" t="s">
        <v>822</v>
      </c>
      <c r="L3" s="105" t="s">
        <v>171</v>
      </c>
      <c r="M3" s="105" t="s">
        <v>89</v>
      </c>
      <c r="N3" s="105" t="s">
        <v>823</v>
      </c>
      <c r="O3" s="105" t="s">
        <v>815</v>
      </c>
      <c r="P3" s="105" t="s">
        <v>816</v>
      </c>
      <c r="Q3" s="108"/>
      <c r="R3" s="70" t="s">
        <v>824</v>
      </c>
    </row>
    <row r="4" spans="1:18" ht="90" x14ac:dyDescent="0.2">
      <c r="A4" s="100" t="s">
        <v>825</v>
      </c>
      <c r="B4" s="101">
        <v>1080578940</v>
      </c>
      <c r="C4" s="102" t="s">
        <v>826</v>
      </c>
      <c r="D4" s="102" t="s">
        <v>677</v>
      </c>
      <c r="E4" s="103" t="s">
        <v>827</v>
      </c>
      <c r="F4" s="104" t="s">
        <v>111</v>
      </c>
      <c r="G4" s="105">
        <v>40770</v>
      </c>
      <c r="H4" s="106">
        <v>40940</v>
      </c>
      <c r="I4" s="107">
        <f t="shared" ca="1" si="0"/>
        <v>-718</v>
      </c>
      <c r="J4" s="105" t="s">
        <v>88</v>
      </c>
      <c r="K4" s="105" t="s">
        <v>828</v>
      </c>
      <c r="L4" s="105" t="s">
        <v>171</v>
      </c>
      <c r="M4" s="105" t="s">
        <v>89</v>
      </c>
      <c r="N4" s="105" t="s">
        <v>829</v>
      </c>
      <c r="O4" s="105" t="s">
        <v>830</v>
      </c>
      <c r="P4" s="105" t="s">
        <v>816</v>
      </c>
      <c r="Q4" s="108"/>
      <c r="R4" s="70" t="s">
        <v>831</v>
      </c>
    </row>
    <row r="5" spans="1:18" ht="108" x14ac:dyDescent="0.2">
      <c r="A5" s="100" t="s">
        <v>832</v>
      </c>
      <c r="B5" s="101">
        <v>1080579160</v>
      </c>
      <c r="C5" s="102">
        <v>1080578623</v>
      </c>
      <c r="D5" s="102" t="s">
        <v>820</v>
      </c>
      <c r="E5" s="103" t="s">
        <v>833</v>
      </c>
      <c r="F5" s="104" t="s">
        <v>108</v>
      </c>
      <c r="G5" s="105">
        <v>40806</v>
      </c>
      <c r="H5" s="106">
        <v>40940</v>
      </c>
      <c r="I5" s="107">
        <f t="shared" ca="1" si="0"/>
        <v>-718</v>
      </c>
      <c r="J5" s="105" t="s">
        <v>89</v>
      </c>
      <c r="K5" s="105" t="s">
        <v>834</v>
      </c>
      <c r="L5" s="105" t="s">
        <v>171</v>
      </c>
      <c r="M5" s="105" t="s">
        <v>89</v>
      </c>
      <c r="N5" s="105" t="s">
        <v>835</v>
      </c>
      <c r="O5" s="105" t="s">
        <v>90</v>
      </c>
      <c r="P5" s="105" t="s">
        <v>816</v>
      </c>
      <c r="Q5" s="108"/>
      <c r="R5" s="70"/>
    </row>
    <row r="6" spans="1:18" ht="108" x14ac:dyDescent="0.2">
      <c r="A6" s="100" t="s">
        <v>836</v>
      </c>
      <c r="B6" s="101">
        <v>1080579165</v>
      </c>
      <c r="C6" s="102">
        <v>1080579114</v>
      </c>
      <c r="D6" s="102" t="s">
        <v>820</v>
      </c>
      <c r="E6" s="103" t="s">
        <v>837</v>
      </c>
      <c r="F6" s="104">
        <v>65</v>
      </c>
      <c r="G6" s="105">
        <v>40806</v>
      </c>
      <c r="H6" s="106">
        <v>40940</v>
      </c>
      <c r="I6" s="107">
        <f t="shared" ca="1" si="0"/>
        <v>-718</v>
      </c>
      <c r="J6" s="105" t="s">
        <v>89</v>
      </c>
      <c r="K6" s="105" t="s">
        <v>112</v>
      </c>
      <c r="L6" s="105" t="s">
        <v>89</v>
      </c>
      <c r="M6" s="105" t="s">
        <v>89</v>
      </c>
      <c r="N6" s="105" t="s">
        <v>104</v>
      </c>
      <c r="O6" s="105" t="s">
        <v>90</v>
      </c>
      <c r="P6" s="105" t="s">
        <v>816</v>
      </c>
      <c r="Q6" s="108"/>
      <c r="R6" s="70"/>
    </row>
    <row r="7" spans="1:18" ht="108" x14ac:dyDescent="0.2">
      <c r="A7" s="100" t="s">
        <v>838</v>
      </c>
      <c r="B7" s="101">
        <v>1080579256</v>
      </c>
      <c r="C7" s="102">
        <v>1080578794</v>
      </c>
      <c r="D7" s="102" t="s">
        <v>839</v>
      </c>
      <c r="E7" s="103" t="s">
        <v>840</v>
      </c>
      <c r="F7" s="104" t="s">
        <v>841</v>
      </c>
      <c r="G7" s="105">
        <v>40822</v>
      </c>
      <c r="H7" s="106">
        <v>40882</v>
      </c>
      <c r="I7" s="107">
        <f t="shared" ca="1" si="0"/>
        <v>-760</v>
      </c>
      <c r="J7" s="105" t="s">
        <v>89</v>
      </c>
      <c r="K7" s="105" t="s">
        <v>323</v>
      </c>
      <c r="L7" s="105" t="s">
        <v>88</v>
      </c>
      <c r="M7" s="105" t="s">
        <v>89</v>
      </c>
      <c r="N7" s="105" t="s">
        <v>842</v>
      </c>
      <c r="O7" s="105" t="s">
        <v>207</v>
      </c>
      <c r="P7" s="105" t="s">
        <v>816</v>
      </c>
      <c r="Q7" s="108"/>
      <c r="R7" s="70"/>
    </row>
    <row r="8" spans="1:18" ht="360" x14ac:dyDescent="0.2">
      <c r="A8" s="100" t="s">
        <v>843</v>
      </c>
      <c r="B8" s="101">
        <v>1080579368</v>
      </c>
      <c r="C8" s="102">
        <v>1080578720</v>
      </c>
      <c r="D8" s="102" t="s">
        <v>810</v>
      </c>
      <c r="E8" s="103" t="s">
        <v>844</v>
      </c>
      <c r="F8" s="104" t="s">
        <v>111</v>
      </c>
      <c r="G8" s="105">
        <v>40841</v>
      </c>
      <c r="H8" s="106">
        <v>40912</v>
      </c>
      <c r="I8" s="107">
        <f t="shared" ca="1" si="0"/>
        <v>-738</v>
      </c>
      <c r="J8" s="105" t="s">
        <v>89</v>
      </c>
      <c r="K8" s="105" t="s">
        <v>845</v>
      </c>
      <c r="L8" s="105" t="s">
        <v>171</v>
      </c>
      <c r="M8" s="105" t="s">
        <v>89</v>
      </c>
      <c r="N8" s="105" t="s">
        <v>846</v>
      </c>
      <c r="O8" s="105" t="s">
        <v>90</v>
      </c>
      <c r="P8" s="105" t="s">
        <v>816</v>
      </c>
      <c r="Q8" s="108"/>
      <c r="R8" s="70"/>
    </row>
    <row r="9" spans="1:18" ht="45" x14ac:dyDescent="0.2">
      <c r="A9" s="100" t="s">
        <v>847</v>
      </c>
      <c r="B9" s="101">
        <v>1080579524</v>
      </c>
      <c r="C9" s="102">
        <v>1080578434</v>
      </c>
      <c r="D9" s="102" t="s">
        <v>677</v>
      </c>
      <c r="E9" s="103" t="s">
        <v>848</v>
      </c>
      <c r="F9" s="104" t="s">
        <v>111</v>
      </c>
      <c r="G9" s="105">
        <v>40870</v>
      </c>
      <c r="H9" s="106">
        <v>40931</v>
      </c>
      <c r="I9" s="107">
        <f t="shared" ca="1" si="0"/>
        <v>-725</v>
      </c>
      <c r="J9" s="105" t="s">
        <v>88</v>
      </c>
      <c r="K9" s="105" t="s">
        <v>849</v>
      </c>
      <c r="L9" s="105" t="s">
        <v>171</v>
      </c>
      <c r="M9" s="105" t="s">
        <v>89</v>
      </c>
      <c r="N9" s="105" t="s">
        <v>850</v>
      </c>
      <c r="O9" s="105" t="s">
        <v>230</v>
      </c>
      <c r="P9" s="105" t="s">
        <v>816</v>
      </c>
      <c r="Q9" s="108"/>
      <c r="R9" s="70"/>
    </row>
    <row r="10" spans="1:18" ht="72" x14ac:dyDescent="0.2">
      <c r="A10" s="100" t="s">
        <v>851</v>
      </c>
      <c r="B10" s="101">
        <v>1080579605</v>
      </c>
      <c r="C10" s="102">
        <v>1080579469</v>
      </c>
      <c r="D10" s="102" t="s">
        <v>852</v>
      </c>
      <c r="E10" s="103" t="s">
        <v>853</v>
      </c>
      <c r="F10" s="104">
        <v>60</v>
      </c>
      <c r="G10" s="105">
        <v>40883</v>
      </c>
      <c r="H10" s="106">
        <v>40946</v>
      </c>
      <c r="I10" s="107">
        <f t="shared" ca="1" si="0"/>
        <v>-714</v>
      </c>
      <c r="J10" s="105" t="s">
        <v>89</v>
      </c>
      <c r="K10" s="105" t="s">
        <v>98</v>
      </c>
      <c r="L10" s="105" t="s">
        <v>89</v>
      </c>
      <c r="M10" s="105" t="s">
        <v>89</v>
      </c>
      <c r="N10" s="105" t="s">
        <v>854</v>
      </c>
      <c r="O10" s="105" t="s">
        <v>207</v>
      </c>
      <c r="P10" s="105" t="s">
        <v>816</v>
      </c>
      <c r="Q10" s="108"/>
      <c r="R10" s="70"/>
    </row>
    <row r="11" spans="1:18" ht="72" x14ac:dyDescent="0.2">
      <c r="A11" s="100" t="s">
        <v>855</v>
      </c>
      <c r="B11" s="101">
        <v>1080579607</v>
      </c>
      <c r="C11" s="102">
        <v>1080579428</v>
      </c>
      <c r="D11" s="102" t="s">
        <v>856</v>
      </c>
      <c r="E11" s="103" t="s">
        <v>857</v>
      </c>
      <c r="F11" s="104" t="s">
        <v>157</v>
      </c>
      <c r="G11" s="105">
        <v>40883</v>
      </c>
      <c r="H11" s="106">
        <v>40946</v>
      </c>
      <c r="I11" s="107">
        <f t="shared" ca="1" si="0"/>
        <v>-714</v>
      </c>
      <c r="J11" s="105" t="s">
        <v>89</v>
      </c>
      <c r="K11" s="105" t="s">
        <v>89</v>
      </c>
      <c r="L11" s="105" t="s">
        <v>89</v>
      </c>
      <c r="M11" s="105" t="s">
        <v>89</v>
      </c>
      <c r="N11" s="105" t="s">
        <v>104</v>
      </c>
      <c r="O11" s="105" t="s">
        <v>89</v>
      </c>
      <c r="P11" s="105" t="s">
        <v>816</v>
      </c>
      <c r="Q11" s="108"/>
      <c r="R11" s="70" t="s">
        <v>858</v>
      </c>
    </row>
    <row r="12" spans="1:18" ht="270" x14ac:dyDescent="0.2">
      <c r="A12" s="100" t="s">
        <v>859</v>
      </c>
      <c r="B12" s="101">
        <v>1080579635</v>
      </c>
      <c r="C12" s="102">
        <v>1080579516</v>
      </c>
      <c r="D12" s="102" t="s">
        <v>860</v>
      </c>
      <c r="E12" s="103" t="s">
        <v>861</v>
      </c>
      <c r="F12" s="104">
        <v>65</v>
      </c>
      <c r="G12" s="105">
        <v>40885</v>
      </c>
      <c r="H12" s="106">
        <v>40949</v>
      </c>
      <c r="I12" s="107">
        <f t="shared" ca="1" si="0"/>
        <v>-711</v>
      </c>
      <c r="J12" s="105" t="s">
        <v>259</v>
      </c>
      <c r="K12" s="105" t="s">
        <v>112</v>
      </c>
      <c r="L12" s="105" t="s">
        <v>88</v>
      </c>
      <c r="M12" s="105" t="s">
        <v>89</v>
      </c>
      <c r="N12" s="105" t="s">
        <v>862</v>
      </c>
      <c r="O12" s="105" t="s">
        <v>90</v>
      </c>
      <c r="P12" s="105" t="s">
        <v>816</v>
      </c>
      <c r="Q12" s="108"/>
      <c r="R12" s="70"/>
    </row>
    <row r="13" spans="1:18" ht="198" x14ac:dyDescent="0.2">
      <c r="A13" s="100" t="s">
        <v>863</v>
      </c>
      <c r="B13" s="101">
        <v>1080579709</v>
      </c>
      <c r="C13" s="102">
        <v>1080579589</v>
      </c>
      <c r="D13" s="102" t="s">
        <v>677</v>
      </c>
      <c r="E13" s="103" t="s">
        <v>864</v>
      </c>
      <c r="F13" s="104" t="s">
        <v>111</v>
      </c>
      <c r="G13" s="105">
        <v>40911</v>
      </c>
      <c r="H13" s="106">
        <v>40973</v>
      </c>
      <c r="I13" s="107">
        <f t="shared" ca="1" si="0"/>
        <v>-695</v>
      </c>
      <c r="J13" s="105" t="s">
        <v>336</v>
      </c>
      <c r="K13" s="105" t="s">
        <v>865</v>
      </c>
      <c r="L13" s="105" t="s">
        <v>171</v>
      </c>
      <c r="M13" s="105" t="s">
        <v>89</v>
      </c>
      <c r="N13" s="105" t="s">
        <v>866</v>
      </c>
      <c r="O13" s="105" t="s">
        <v>230</v>
      </c>
      <c r="P13" s="105" t="s">
        <v>816</v>
      </c>
      <c r="Q13" s="108"/>
      <c r="R13" s="70"/>
    </row>
    <row r="14" spans="1:18" ht="126" x14ac:dyDescent="0.2">
      <c r="A14" s="100" t="s">
        <v>867</v>
      </c>
      <c r="B14" s="101">
        <v>1080579725</v>
      </c>
      <c r="C14" s="102"/>
      <c r="D14" s="102" t="s">
        <v>677</v>
      </c>
      <c r="E14" s="103" t="s">
        <v>868</v>
      </c>
      <c r="F14" s="104" t="s">
        <v>111</v>
      </c>
      <c r="G14" s="105">
        <v>40913</v>
      </c>
      <c r="H14" s="106">
        <v>40973</v>
      </c>
      <c r="I14" s="107">
        <f t="shared" ca="1" si="0"/>
        <v>-695</v>
      </c>
      <c r="J14" s="105" t="s">
        <v>88</v>
      </c>
      <c r="K14" s="105" t="s">
        <v>869</v>
      </c>
      <c r="L14" s="105" t="s">
        <v>171</v>
      </c>
      <c r="M14" s="105" t="s">
        <v>89</v>
      </c>
      <c r="N14" s="105" t="s">
        <v>870</v>
      </c>
      <c r="O14" s="105" t="s">
        <v>230</v>
      </c>
      <c r="P14" s="105" t="s">
        <v>816</v>
      </c>
      <c r="Q14" s="108"/>
      <c r="R14" s="70"/>
    </row>
    <row r="15" spans="1:18" ht="90" x14ac:dyDescent="0.2">
      <c r="A15" s="100" t="s">
        <v>871</v>
      </c>
      <c r="B15" s="101">
        <v>1080579787</v>
      </c>
      <c r="C15" s="102"/>
      <c r="D15" s="102" t="s">
        <v>872</v>
      </c>
      <c r="E15" s="103" t="s">
        <v>873</v>
      </c>
      <c r="F15" s="104">
        <v>43</v>
      </c>
      <c r="G15" s="105">
        <v>40926</v>
      </c>
      <c r="H15" s="106">
        <v>40961</v>
      </c>
      <c r="I15" s="107">
        <f t="shared" ca="1" si="0"/>
        <v>-703</v>
      </c>
      <c r="J15" s="105" t="s">
        <v>88</v>
      </c>
      <c r="K15" s="105" t="s">
        <v>161</v>
      </c>
      <c r="L15" s="105" t="s">
        <v>171</v>
      </c>
      <c r="M15" s="105" t="s">
        <v>89</v>
      </c>
      <c r="N15" s="105" t="s">
        <v>149</v>
      </c>
      <c r="O15" s="105" t="s">
        <v>207</v>
      </c>
      <c r="P15" s="105" t="s">
        <v>816</v>
      </c>
      <c r="Q15" s="108"/>
      <c r="R15" s="153"/>
    </row>
    <row r="16" spans="1:18" ht="45" x14ac:dyDescent="0.2">
      <c r="A16" s="100" t="s">
        <v>874</v>
      </c>
      <c r="B16" s="101">
        <v>1080579526</v>
      </c>
      <c r="C16" s="102">
        <v>1080578406</v>
      </c>
      <c r="D16" s="102" t="s">
        <v>677</v>
      </c>
      <c r="E16" s="103" t="s">
        <v>875</v>
      </c>
      <c r="F16" s="104" t="s">
        <v>111</v>
      </c>
      <c r="G16" s="105">
        <v>40870</v>
      </c>
      <c r="H16" s="106">
        <v>40931</v>
      </c>
      <c r="I16" s="107">
        <f t="shared" ca="1" si="0"/>
        <v>-725</v>
      </c>
      <c r="J16" s="105" t="s">
        <v>88</v>
      </c>
      <c r="K16" s="105" t="s">
        <v>876</v>
      </c>
      <c r="L16" s="105" t="s">
        <v>171</v>
      </c>
      <c r="M16" s="105" t="s">
        <v>89</v>
      </c>
      <c r="N16" s="105" t="s">
        <v>877</v>
      </c>
      <c r="O16" s="105" t="s">
        <v>153</v>
      </c>
      <c r="P16" s="105" t="s">
        <v>816</v>
      </c>
      <c r="Q16" s="108"/>
      <c r="R16" s="70"/>
    </row>
    <row r="17" spans="1:18" ht="54" x14ac:dyDescent="0.2">
      <c r="A17" s="100" t="s">
        <v>878</v>
      </c>
      <c r="B17" s="101">
        <v>1080579407</v>
      </c>
      <c r="C17" s="102"/>
      <c r="D17" s="102" t="s">
        <v>131</v>
      </c>
      <c r="E17" s="103" t="s">
        <v>879</v>
      </c>
      <c r="F17" s="104">
        <v>65</v>
      </c>
      <c r="G17" s="105">
        <v>40848</v>
      </c>
      <c r="H17" s="106">
        <v>40914</v>
      </c>
      <c r="I17" s="107">
        <f t="shared" ca="1" si="0"/>
        <v>-736</v>
      </c>
      <c r="J17" s="105" t="s">
        <v>89</v>
      </c>
      <c r="K17" s="105" t="s">
        <v>112</v>
      </c>
      <c r="L17" s="105" t="s">
        <v>89</v>
      </c>
      <c r="M17" s="105" t="s">
        <v>89</v>
      </c>
      <c r="N17" s="105" t="s">
        <v>862</v>
      </c>
      <c r="O17" s="105" t="s">
        <v>90</v>
      </c>
      <c r="P17" s="105" t="s">
        <v>880</v>
      </c>
      <c r="Q17" s="108"/>
      <c r="R17" s="70"/>
    </row>
    <row r="18" spans="1:18" ht="72" x14ac:dyDescent="0.2">
      <c r="A18" s="109" t="s">
        <v>881</v>
      </c>
      <c r="B18" s="101">
        <v>1080580236</v>
      </c>
      <c r="C18" s="102">
        <v>1080580034</v>
      </c>
      <c r="D18" s="102" t="s">
        <v>761</v>
      </c>
      <c r="E18" s="103" t="s">
        <v>882</v>
      </c>
      <c r="F18" s="104">
        <v>33</v>
      </c>
      <c r="G18" s="105">
        <v>40994</v>
      </c>
      <c r="H18" s="106">
        <v>41060</v>
      </c>
      <c r="I18" s="107">
        <f t="shared" ca="1" si="0"/>
        <v>-632</v>
      </c>
      <c r="J18" s="105" t="s">
        <v>88</v>
      </c>
      <c r="K18" s="105" t="s">
        <v>211</v>
      </c>
      <c r="L18" s="105" t="s">
        <v>89</v>
      </c>
      <c r="M18" s="105" t="s">
        <v>89</v>
      </c>
      <c r="N18" s="105" t="s">
        <v>883</v>
      </c>
      <c r="O18" s="105" t="s">
        <v>90</v>
      </c>
      <c r="P18" s="105" t="s">
        <v>880</v>
      </c>
      <c r="Q18" s="108"/>
      <c r="R18" s="102"/>
    </row>
    <row r="19" spans="1:18" ht="126" x14ac:dyDescent="0.2">
      <c r="A19" s="109" t="s">
        <v>884</v>
      </c>
      <c r="B19" s="101">
        <v>1080580666</v>
      </c>
      <c r="C19" s="102">
        <v>1080580666</v>
      </c>
      <c r="D19" s="102" t="s">
        <v>565</v>
      </c>
      <c r="E19" s="103" t="s">
        <v>885</v>
      </c>
      <c r="F19" s="104" t="s">
        <v>174</v>
      </c>
      <c r="G19" s="105">
        <v>41051</v>
      </c>
      <c r="H19" s="106">
        <v>41117</v>
      </c>
      <c r="I19" s="107">
        <f t="shared" ca="1" si="0"/>
        <v>-591</v>
      </c>
      <c r="J19" s="105" t="s">
        <v>89</v>
      </c>
      <c r="K19" s="105" t="s">
        <v>161</v>
      </c>
      <c r="L19" s="105" t="s">
        <v>171</v>
      </c>
      <c r="M19" s="105" t="s">
        <v>89</v>
      </c>
      <c r="N19" s="105" t="s">
        <v>886</v>
      </c>
      <c r="O19" s="105" t="s">
        <v>207</v>
      </c>
      <c r="P19" s="105" t="s">
        <v>880</v>
      </c>
      <c r="Q19" s="108"/>
      <c r="R19" s="102"/>
    </row>
    <row r="20" spans="1:18" ht="75" x14ac:dyDescent="0.2">
      <c r="A20" s="109" t="s">
        <v>887</v>
      </c>
      <c r="B20" s="101">
        <v>1080580319</v>
      </c>
      <c r="C20" s="102" t="s">
        <v>888</v>
      </c>
      <c r="D20" s="102" t="s">
        <v>122</v>
      </c>
      <c r="E20" s="103" t="s">
        <v>889</v>
      </c>
      <c r="F20" s="104" t="s">
        <v>497</v>
      </c>
      <c r="G20" s="105">
        <v>41008</v>
      </c>
      <c r="H20" s="106">
        <v>41395</v>
      </c>
      <c r="I20" s="107">
        <f t="shared" ca="1" si="0"/>
        <v>-393</v>
      </c>
      <c r="J20" s="105" t="s">
        <v>88</v>
      </c>
      <c r="K20" s="105" t="s">
        <v>890</v>
      </c>
      <c r="L20" s="105" t="s">
        <v>171</v>
      </c>
      <c r="M20" s="105" t="s">
        <v>89</v>
      </c>
      <c r="N20" s="105" t="s">
        <v>891</v>
      </c>
      <c r="O20" s="105" t="s">
        <v>207</v>
      </c>
      <c r="P20" s="105" t="s">
        <v>892</v>
      </c>
      <c r="Q20" s="108"/>
      <c r="R20" s="102"/>
    </row>
    <row r="21" spans="1:18" ht="108" x14ac:dyDescent="0.2">
      <c r="A21" s="109" t="s">
        <v>893</v>
      </c>
      <c r="B21" s="101">
        <v>1080581186</v>
      </c>
      <c r="C21" s="102">
        <v>1080580542</v>
      </c>
      <c r="D21" s="102" t="s">
        <v>894</v>
      </c>
      <c r="E21" s="103" t="s">
        <v>895</v>
      </c>
      <c r="F21" s="104" t="s">
        <v>140</v>
      </c>
      <c r="G21" s="105">
        <v>41143</v>
      </c>
      <c r="H21" s="106">
        <v>41260</v>
      </c>
      <c r="I21" s="107">
        <f t="shared" ca="1" si="0"/>
        <v>-490</v>
      </c>
      <c r="J21" s="105">
        <v>41178</v>
      </c>
      <c r="K21" s="105" t="s">
        <v>112</v>
      </c>
      <c r="L21" s="105" t="s">
        <v>89</v>
      </c>
      <c r="M21" s="105" t="s">
        <v>89</v>
      </c>
      <c r="N21" s="105" t="s">
        <v>113</v>
      </c>
      <c r="O21" s="105" t="s">
        <v>90</v>
      </c>
      <c r="P21" s="105" t="s">
        <v>880</v>
      </c>
      <c r="Q21" s="108"/>
      <c r="R21" s="102"/>
    </row>
    <row r="22" spans="1:18" ht="72" x14ac:dyDescent="0.2">
      <c r="A22" s="110" t="s">
        <v>896</v>
      </c>
      <c r="B22" s="111">
        <v>1080580659</v>
      </c>
      <c r="C22" s="112">
        <v>1080580184</v>
      </c>
      <c r="D22" s="112" t="s">
        <v>96</v>
      </c>
      <c r="E22" s="113" t="s">
        <v>897</v>
      </c>
      <c r="F22" s="114" t="s">
        <v>97</v>
      </c>
      <c r="G22" s="115">
        <v>41051</v>
      </c>
      <c r="H22" s="116">
        <v>41117</v>
      </c>
      <c r="I22" s="117">
        <f t="shared" ca="1" si="0"/>
        <v>-591</v>
      </c>
      <c r="J22" s="115" t="s">
        <v>89</v>
      </c>
      <c r="K22" s="115" t="s">
        <v>89</v>
      </c>
      <c r="L22" s="115" t="s">
        <v>89</v>
      </c>
      <c r="M22" s="115" t="s">
        <v>89</v>
      </c>
      <c r="N22" s="115" t="s">
        <v>89</v>
      </c>
      <c r="O22" s="115" t="s">
        <v>89</v>
      </c>
      <c r="P22" s="115" t="s">
        <v>892</v>
      </c>
      <c r="Q22" s="118" t="s">
        <v>632</v>
      </c>
      <c r="R22" s="112"/>
    </row>
    <row r="23" spans="1:18" ht="90" x14ac:dyDescent="0.2">
      <c r="A23" s="164" t="s">
        <v>333</v>
      </c>
      <c r="B23" s="102">
        <v>1080583465</v>
      </c>
      <c r="C23" s="102">
        <v>1080582473</v>
      </c>
      <c r="D23" s="102" t="s">
        <v>334</v>
      </c>
      <c r="E23" s="156" t="s">
        <v>982</v>
      </c>
      <c r="F23" s="104" t="s">
        <v>335</v>
      </c>
      <c r="G23" s="105">
        <v>41511</v>
      </c>
      <c r="H23" s="163">
        <v>41806</v>
      </c>
      <c r="I23" s="155">
        <v>1</v>
      </c>
      <c r="J23" s="105" t="s">
        <v>89</v>
      </c>
      <c r="K23" s="105" t="s">
        <v>983</v>
      </c>
      <c r="L23" s="105" t="s">
        <v>89</v>
      </c>
      <c r="M23" s="105" t="s">
        <v>89</v>
      </c>
      <c r="N23" s="105" t="s">
        <v>99</v>
      </c>
      <c r="O23" s="105" t="s">
        <v>89</v>
      </c>
      <c r="P23" s="105" t="s">
        <v>892</v>
      </c>
      <c r="Q23" s="108"/>
      <c r="R23" s="102" t="s">
        <v>1502</v>
      </c>
    </row>
    <row r="24" spans="1:18" ht="135" x14ac:dyDescent="0.2">
      <c r="A24" s="109" t="s">
        <v>1605</v>
      </c>
      <c r="B24" s="102">
        <v>400202</v>
      </c>
      <c r="C24" s="102" t="s">
        <v>1616</v>
      </c>
      <c r="D24" s="102" t="s">
        <v>1642</v>
      </c>
      <c r="E24" s="108" t="s">
        <v>1653</v>
      </c>
      <c r="F24" s="104" t="s">
        <v>103</v>
      </c>
      <c r="G24" s="105">
        <v>41874</v>
      </c>
      <c r="H24" s="105"/>
      <c r="I24" s="155" t="s">
        <v>1659</v>
      </c>
      <c r="J24" s="105" t="s">
        <v>1636</v>
      </c>
      <c r="K24" s="105" t="s">
        <v>112</v>
      </c>
      <c r="L24" s="105" t="s">
        <v>1637</v>
      </c>
      <c r="M24" s="105" t="s">
        <v>89</v>
      </c>
      <c r="N24" s="105" t="s">
        <v>1638</v>
      </c>
      <c r="O24" s="105" t="s">
        <v>1067</v>
      </c>
      <c r="P24" s="105" t="s">
        <v>880</v>
      </c>
      <c r="Q24" s="108"/>
      <c r="R24" s="102"/>
    </row>
    <row r="25" spans="1:18" ht="150" x14ac:dyDescent="0.2">
      <c r="A25" s="109" t="s">
        <v>1225</v>
      </c>
      <c r="B25" s="102">
        <v>1080584230</v>
      </c>
      <c r="C25" s="102">
        <v>1080583582</v>
      </c>
      <c r="D25" s="102" t="s">
        <v>134</v>
      </c>
      <c r="E25" s="108" t="s">
        <v>1232</v>
      </c>
      <c r="F25" s="104" t="s">
        <v>111</v>
      </c>
      <c r="G25" s="105">
        <v>41647</v>
      </c>
      <c r="H25" s="105">
        <v>41918</v>
      </c>
      <c r="I25" s="155">
        <v>-15</v>
      </c>
      <c r="J25" s="105">
        <v>41655</v>
      </c>
      <c r="K25" s="105" t="s">
        <v>326</v>
      </c>
      <c r="L25" s="105" t="s">
        <v>1399</v>
      </c>
      <c r="M25" s="105" t="s">
        <v>89</v>
      </c>
      <c r="N25" s="105" t="s">
        <v>136</v>
      </c>
      <c r="O25" s="105" t="s">
        <v>1074</v>
      </c>
      <c r="P25" s="105" t="s">
        <v>892</v>
      </c>
      <c r="Q25" s="108"/>
      <c r="R25" s="102"/>
    </row>
    <row r="26" spans="1:18" ht="15" customHeight="1" x14ac:dyDescent="0.2">
      <c r="B26" s="20"/>
      <c r="F26" s="20"/>
      <c r="G26" s="20"/>
      <c r="H26" s="20"/>
      <c r="I26" s="20"/>
      <c r="P26" s="93"/>
    </row>
    <row r="27" spans="1:18" ht="15" customHeight="1" x14ac:dyDescent="0.2">
      <c r="B27" s="20"/>
      <c r="F27" s="20"/>
      <c r="G27" s="20"/>
      <c r="H27" s="20"/>
      <c r="I27" s="20"/>
      <c r="P27" s="93"/>
    </row>
    <row r="28" spans="1:18" ht="15" customHeight="1" x14ac:dyDescent="0.2">
      <c r="B28" s="20"/>
      <c r="F28" s="20"/>
      <c r="G28" s="20"/>
      <c r="H28" s="20"/>
      <c r="I28" s="20"/>
      <c r="P28" s="93"/>
    </row>
    <row r="29" spans="1:18" ht="15" customHeight="1" x14ac:dyDescent="0.2">
      <c r="B29" s="20"/>
      <c r="F29" s="20"/>
      <c r="G29" s="20"/>
      <c r="H29" s="20"/>
      <c r="I29" s="20"/>
      <c r="P29" s="93"/>
    </row>
    <row r="30" spans="1:18" ht="15" customHeight="1" x14ac:dyDescent="0.2">
      <c r="B30" s="20"/>
      <c r="F30" s="20"/>
      <c r="G30" s="20"/>
      <c r="H30" s="20"/>
      <c r="I30" s="20"/>
      <c r="P30" s="93"/>
    </row>
    <row r="31" spans="1:18" ht="15" customHeight="1" x14ac:dyDescent="0.2">
      <c r="B31" s="20"/>
      <c r="F31" s="20"/>
      <c r="G31" s="20"/>
      <c r="H31" s="20"/>
      <c r="I31" s="20"/>
      <c r="P31" s="93"/>
    </row>
    <row r="32" spans="1:18" ht="15" customHeight="1" x14ac:dyDescent="0.2">
      <c r="B32" s="20"/>
      <c r="F32" s="20"/>
      <c r="G32" s="20"/>
      <c r="H32" s="20"/>
      <c r="I32" s="20"/>
      <c r="P32" s="93"/>
    </row>
    <row r="33" spans="2:16" ht="15" customHeight="1" x14ac:dyDescent="0.2">
      <c r="B33" s="20"/>
      <c r="F33" s="20"/>
      <c r="G33" s="20"/>
      <c r="H33" s="20"/>
      <c r="I33" s="20"/>
      <c r="P33" s="93"/>
    </row>
    <row r="34" spans="2:16" ht="15" customHeight="1" x14ac:dyDescent="0.2">
      <c r="B34" s="20"/>
      <c r="F34" s="20"/>
      <c r="G34" s="20"/>
      <c r="H34" s="20"/>
      <c r="I34" s="20"/>
      <c r="P34" s="93"/>
    </row>
    <row r="35" spans="2:16" ht="15" customHeight="1" x14ac:dyDescent="0.2">
      <c r="B35" s="20"/>
      <c r="F35" s="20"/>
      <c r="G35" s="20"/>
      <c r="H35" s="20"/>
      <c r="I35" s="20"/>
      <c r="P35" s="93"/>
    </row>
    <row r="36" spans="2:16" ht="15" customHeight="1" x14ac:dyDescent="0.2">
      <c r="B36" s="20"/>
      <c r="F36" s="20"/>
      <c r="G36" s="20"/>
      <c r="H36" s="20"/>
      <c r="I36" s="20"/>
      <c r="P36" s="93"/>
    </row>
    <row r="37" spans="2:16" ht="15" customHeight="1" x14ac:dyDescent="0.2">
      <c r="B37" s="20"/>
      <c r="F37" s="20"/>
      <c r="G37" s="20"/>
      <c r="H37" s="20"/>
      <c r="I37" s="20"/>
      <c r="P37" s="93"/>
    </row>
    <row r="38" spans="2:16" ht="15" customHeight="1" x14ac:dyDescent="0.2">
      <c r="B38" s="20"/>
      <c r="F38" s="20"/>
      <c r="G38" s="20"/>
      <c r="H38" s="20"/>
      <c r="I38" s="20"/>
      <c r="P38" s="93"/>
    </row>
    <row r="39" spans="2:16" ht="15" customHeight="1" x14ac:dyDescent="0.2">
      <c r="B39" s="20"/>
      <c r="F39" s="20"/>
      <c r="G39" s="20"/>
      <c r="H39" s="20"/>
      <c r="I39" s="20"/>
      <c r="P39" s="93"/>
    </row>
    <row r="40" spans="2:16" ht="15" customHeight="1" x14ac:dyDescent="0.2">
      <c r="B40" s="20"/>
      <c r="F40" s="20"/>
      <c r="G40" s="20"/>
      <c r="H40" s="20"/>
      <c r="I40" s="20"/>
      <c r="P40" s="93"/>
    </row>
    <row r="41" spans="2:16" ht="15" customHeight="1" x14ac:dyDescent="0.2">
      <c r="B41" s="20"/>
      <c r="F41" s="20"/>
      <c r="G41" s="20"/>
      <c r="H41" s="20"/>
      <c r="I41" s="20"/>
      <c r="P41" s="93"/>
    </row>
  </sheetData>
  <phoneticPr fontId="0" type="noConversion"/>
  <conditionalFormatting sqref="I2">
    <cfRule type="cellIs" dxfId="24" priority="24" operator="lessThan">
      <formula>0</formula>
    </cfRule>
  </conditionalFormatting>
  <conditionalFormatting sqref="I3">
    <cfRule type="cellIs" dxfId="23" priority="23" operator="lessThan">
      <formula>0</formula>
    </cfRule>
  </conditionalFormatting>
  <conditionalFormatting sqref="I4">
    <cfRule type="cellIs" dxfId="22" priority="22" operator="lessThan">
      <formula>0</formula>
    </cfRule>
  </conditionalFormatting>
  <conditionalFormatting sqref="I5">
    <cfRule type="cellIs" dxfId="21" priority="21" operator="lessThan">
      <formula>0</formula>
    </cfRule>
  </conditionalFormatting>
  <conditionalFormatting sqref="I6">
    <cfRule type="cellIs" dxfId="20" priority="20" operator="lessThan">
      <formula>0</formula>
    </cfRule>
  </conditionalFormatting>
  <conditionalFormatting sqref="I7">
    <cfRule type="cellIs" dxfId="19" priority="19" operator="lessThan">
      <formula>0</formula>
    </cfRule>
  </conditionalFormatting>
  <conditionalFormatting sqref="I8">
    <cfRule type="cellIs" dxfId="18" priority="18" operator="lessThan">
      <formula>0</formula>
    </cfRule>
  </conditionalFormatting>
  <conditionalFormatting sqref="I9">
    <cfRule type="cellIs" dxfId="17" priority="17" operator="lessThan">
      <formula>0</formula>
    </cfRule>
  </conditionalFormatting>
  <conditionalFormatting sqref="I10">
    <cfRule type="cellIs" dxfId="16" priority="16" operator="lessThan">
      <formula>0</formula>
    </cfRule>
  </conditionalFormatting>
  <conditionalFormatting sqref="I11">
    <cfRule type="cellIs" dxfId="15" priority="15" operator="lessThan">
      <formula>0</formula>
    </cfRule>
  </conditionalFormatting>
  <conditionalFormatting sqref="I12">
    <cfRule type="cellIs" dxfId="14" priority="14" operator="lessThan">
      <formula>0</formula>
    </cfRule>
  </conditionalFormatting>
  <conditionalFormatting sqref="I13">
    <cfRule type="cellIs" dxfId="13" priority="13" operator="lessThan">
      <formula>0</formula>
    </cfRule>
  </conditionalFormatting>
  <conditionalFormatting sqref="I14">
    <cfRule type="cellIs" dxfId="12" priority="12" operator="lessThan">
      <formula>0</formula>
    </cfRule>
  </conditionalFormatting>
  <conditionalFormatting sqref="I15">
    <cfRule type="cellIs" dxfId="11" priority="11" operator="lessThan">
      <formula>0</formula>
    </cfRule>
  </conditionalFormatting>
  <conditionalFormatting sqref="I16">
    <cfRule type="cellIs" dxfId="10" priority="10" operator="lessThan">
      <formula>0</formula>
    </cfRule>
  </conditionalFormatting>
  <conditionalFormatting sqref="I17">
    <cfRule type="cellIs" dxfId="9" priority="9" operator="lessThan">
      <formula>0</formula>
    </cfRule>
  </conditionalFormatting>
  <conditionalFormatting sqref="I18">
    <cfRule type="expression" dxfId="8" priority="8">
      <formula>$I18&lt;0</formula>
    </cfRule>
  </conditionalFormatting>
  <conditionalFormatting sqref="I19">
    <cfRule type="expression" dxfId="7" priority="7">
      <formula>$I19&lt;0</formula>
    </cfRule>
  </conditionalFormatting>
  <conditionalFormatting sqref="I20">
    <cfRule type="expression" dxfId="6" priority="6">
      <formula>$I20&lt;0</formula>
    </cfRule>
  </conditionalFormatting>
  <conditionalFormatting sqref="I21">
    <cfRule type="expression" dxfId="5" priority="5">
      <formula>$I21&lt;0</formula>
    </cfRule>
  </conditionalFormatting>
  <conditionalFormatting sqref="I22">
    <cfRule type="expression" dxfId="4" priority="4">
      <formula>$I22&lt;0</formula>
    </cfRule>
  </conditionalFormatting>
  <conditionalFormatting sqref="I23">
    <cfRule type="expression" dxfId="3" priority="3">
      <formula>$I23&lt;0</formula>
    </cfRule>
  </conditionalFormatting>
  <conditionalFormatting sqref="I24">
    <cfRule type="expression" dxfId="2" priority="2">
      <formula>$I24&lt;0</formula>
    </cfRule>
  </conditionalFormatting>
  <conditionalFormatting sqref="I25">
    <cfRule type="expression" dxfId="1" priority="1">
      <formula>$I25&lt;0</formula>
    </cfRule>
  </conditionalFormatting>
  <hyperlinks>
    <hyperlink ref="A2" r:id="rId1"/>
    <hyperlink ref="A3" r:id="rId2"/>
    <hyperlink ref="A4" r:id="rId3"/>
    <hyperlink ref="A5" r:id="rId4"/>
    <hyperlink ref="A6" r:id="rId5"/>
    <hyperlink ref="A7" r:id="rId6"/>
    <hyperlink ref="A8" r:id="rId7"/>
    <hyperlink ref="A9" r:id="rId8"/>
    <hyperlink ref="A10" r:id="rId9"/>
    <hyperlink ref="A11" r:id="rId10"/>
    <hyperlink ref="A12" r:id="rId11"/>
    <hyperlink ref="A13" r:id="rId12"/>
    <hyperlink ref="A14" r:id="rId13"/>
    <hyperlink ref="A15" r:id="rId14"/>
    <hyperlink ref="A16" r:id="rId15"/>
    <hyperlink ref="A17" r:id="rId16"/>
    <hyperlink ref="A18" r:id="rId17"/>
    <hyperlink ref="A19" r:id="rId18"/>
    <hyperlink ref="A20" r:id="rId19"/>
    <hyperlink ref="A21" r:id="rId20"/>
    <hyperlink ref="A22" r:id="rId21"/>
    <hyperlink ref="A23" r:id="rId22"/>
    <hyperlink ref="A24" r:id="rId23"/>
    <hyperlink ref="A25" r:id="rId24"/>
  </hyperlinks>
  <pageMargins left="0.98" right="0.02" top="0.03" bottom="0.41" header="0.01" footer="0.35"/>
  <pageSetup scale="74" fitToHeight="9" orientation="landscape" r:id="rId25"/>
  <headerFooter alignWithMargins="0">
    <oddFooter>&amp;L&amp;A&amp;C&amp;P of &amp;N&amp;Rlast printed on &amp;D</oddFooter>
  </headerFooter>
  <legacyDrawing r:id="rId2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R86"/>
  <sheetViews>
    <sheetView zoomScale="50" zoomScaleNormal="50" zoomScaleSheetLayoutView="75" workbookViewId="0">
      <selection activeCell="K16" sqref="K16"/>
    </sheetView>
  </sheetViews>
  <sheetFormatPr defaultColWidth="11.42578125" defaultRowHeight="14.25" customHeight="1" x14ac:dyDescent="0.2"/>
  <cols>
    <col min="1" max="1" width="5.5703125" style="45" customWidth="1"/>
    <col min="2" max="2" width="17.5703125" style="43" customWidth="1"/>
    <col min="3" max="3" width="11.42578125" style="45" customWidth="1"/>
    <col min="4" max="4" width="19.85546875" style="45" customWidth="1"/>
    <col min="5" max="5" width="11.42578125" style="45" customWidth="1"/>
    <col min="6" max="6" width="17.85546875" style="67" customWidth="1"/>
    <col min="7" max="7" width="11.42578125" style="68" customWidth="1"/>
    <col min="8" max="8" width="17.5703125" style="68" customWidth="1"/>
    <col min="9" max="9" width="11.42578125" style="69" customWidth="1"/>
    <col min="10" max="10" width="18.7109375" style="44" customWidth="1"/>
    <col min="11" max="11" width="11.42578125" style="44" customWidth="1"/>
    <col min="12" max="12" width="18.85546875" style="44" customWidth="1"/>
    <col min="13" max="16" width="11.42578125" style="44" customWidth="1"/>
    <col min="17" max="16384" width="11.42578125" style="45"/>
  </cols>
  <sheetData>
    <row r="1" spans="1:18" ht="14.25" customHeight="1" x14ac:dyDescent="0.2">
      <c r="A1" s="43"/>
      <c r="B1" s="190" t="s">
        <v>899</v>
      </c>
      <c r="C1" s="191"/>
      <c r="D1" s="191"/>
      <c r="E1" s="191"/>
      <c r="F1" s="191"/>
      <c r="G1" s="191"/>
      <c r="H1" s="191"/>
      <c r="I1" s="191"/>
      <c r="J1" s="191"/>
      <c r="K1" s="191"/>
      <c r="L1" s="191"/>
      <c r="M1" s="192"/>
      <c r="R1" s="46"/>
    </row>
    <row r="2" spans="1:18" ht="14.25" customHeight="1" thickBot="1" x14ac:dyDescent="0.25">
      <c r="A2" s="47"/>
      <c r="B2" s="193"/>
      <c r="C2" s="194"/>
      <c r="D2" s="194"/>
      <c r="E2" s="194"/>
      <c r="F2" s="194"/>
      <c r="G2" s="194"/>
      <c r="H2" s="194"/>
      <c r="I2" s="194"/>
      <c r="J2" s="194"/>
      <c r="K2" s="194"/>
      <c r="L2" s="194"/>
      <c r="M2" s="195"/>
      <c r="N2" s="48"/>
      <c r="O2" s="48"/>
      <c r="P2" s="49"/>
      <c r="Q2" s="50"/>
    </row>
    <row r="3" spans="1:18" ht="23.25" customHeight="1" x14ac:dyDescent="0.2">
      <c r="A3" s="51"/>
      <c r="B3" s="75" t="s">
        <v>12</v>
      </c>
      <c r="C3" s="76" t="s">
        <v>24</v>
      </c>
      <c r="D3" s="76" t="s">
        <v>15</v>
      </c>
      <c r="E3" s="76" t="s">
        <v>24</v>
      </c>
      <c r="F3" s="77" t="s">
        <v>25</v>
      </c>
      <c r="G3" s="78" t="s">
        <v>24</v>
      </c>
      <c r="H3" s="78" t="s">
        <v>30</v>
      </c>
      <c r="I3" s="79" t="s">
        <v>24</v>
      </c>
      <c r="J3" s="78" t="s">
        <v>13</v>
      </c>
      <c r="K3" s="78" t="s">
        <v>24</v>
      </c>
      <c r="L3" s="78" t="s">
        <v>14</v>
      </c>
      <c r="M3" s="80" t="s">
        <v>24</v>
      </c>
      <c r="N3" s="48"/>
      <c r="O3" s="48"/>
      <c r="P3" s="48"/>
      <c r="Q3" s="50"/>
    </row>
    <row r="4" spans="1:18" ht="20.25" customHeight="1" x14ac:dyDescent="0.2">
      <c r="A4" s="51"/>
      <c r="B4" s="81" t="s">
        <v>1558</v>
      </c>
      <c r="C4" s="24">
        <v>1</v>
      </c>
      <c r="D4" s="70" t="s">
        <v>98</v>
      </c>
      <c r="E4" s="24">
        <v>3</v>
      </c>
      <c r="F4" s="71" t="s">
        <v>171</v>
      </c>
      <c r="G4" s="24">
        <v>5</v>
      </c>
      <c r="H4" s="72" t="s">
        <v>225</v>
      </c>
      <c r="I4" s="24">
        <v>3</v>
      </c>
      <c r="J4" s="72" t="s">
        <v>104</v>
      </c>
      <c r="K4" s="24">
        <v>17</v>
      </c>
      <c r="L4" s="72" t="s">
        <v>1067</v>
      </c>
      <c r="M4" s="82">
        <v>17</v>
      </c>
      <c r="N4" s="48"/>
      <c r="O4" s="48"/>
      <c r="P4" s="48"/>
      <c r="Q4" s="54"/>
    </row>
    <row r="5" spans="1:18" ht="22.5" customHeight="1" x14ac:dyDescent="0.2">
      <c r="A5" s="51"/>
      <c r="B5" s="81"/>
      <c r="C5" s="24"/>
      <c r="D5" s="70" t="s">
        <v>323</v>
      </c>
      <c r="E5" s="24">
        <v>1</v>
      </c>
      <c r="F5" s="71" t="s">
        <v>1287</v>
      </c>
      <c r="G5" s="24">
        <v>5</v>
      </c>
      <c r="H5" s="72"/>
      <c r="I5" s="24"/>
      <c r="J5" s="73" t="s">
        <v>113</v>
      </c>
      <c r="K5" s="41">
        <v>22</v>
      </c>
      <c r="L5" s="73" t="s">
        <v>90</v>
      </c>
      <c r="M5" s="82">
        <v>1</v>
      </c>
      <c r="N5" s="55"/>
      <c r="O5" s="55"/>
      <c r="P5" s="48"/>
      <c r="Q5" s="52"/>
    </row>
    <row r="6" spans="1:18" ht="22.5" customHeight="1" x14ac:dyDescent="0.2">
      <c r="A6" s="51"/>
      <c r="B6" s="81"/>
      <c r="C6" s="24"/>
      <c r="D6" s="70" t="s">
        <v>161</v>
      </c>
      <c r="E6" s="24">
        <v>1</v>
      </c>
      <c r="F6" s="71" t="s">
        <v>289</v>
      </c>
      <c r="G6" s="24">
        <v>3</v>
      </c>
      <c r="H6" s="72"/>
      <c r="I6" s="24"/>
      <c r="J6" s="72" t="s">
        <v>136</v>
      </c>
      <c r="K6" s="24">
        <v>6</v>
      </c>
      <c r="L6" s="72" t="s">
        <v>153</v>
      </c>
      <c r="M6" s="82">
        <v>6</v>
      </c>
      <c r="N6" s="49"/>
      <c r="O6" s="48"/>
      <c r="P6" s="49"/>
      <c r="Q6" s="52"/>
    </row>
    <row r="7" spans="1:18" ht="21" customHeight="1" x14ac:dyDescent="0.2">
      <c r="A7" s="51"/>
      <c r="B7" s="81"/>
      <c r="C7" s="24"/>
      <c r="D7" s="70" t="s">
        <v>112</v>
      </c>
      <c r="E7" s="24">
        <v>2</v>
      </c>
      <c r="F7" s="71" t="s">
        <v>1586</v>
      </c>
      <c r="G7" s="24">
        <v>1</v>
      </c>
      <c r="H7" s="72"/>
      <c r="I7" s="24"/>
      <c r="J7" s="72" t="s">
        <v>99</v>
      </c>
      <c r="K7" s="24">
        <v>5</v>
      </c>
      <c r="L7" s="72" t="s">
        <v>207</v>
      </c>
      <c r="M7" s="82">
        <v>6</v>
      </c>
      <c r="N7" s="48"/>
      <c r="O7" s="49"/>
      <c r="P7" s="49"/>
      <c r="Q7" s="52"/>
    </row>
    <row r="8" spans="1:18" ht="20.25" customHeight="1" x14ac:dyDescent="0.2">
      <c r="A8" s="51"/>
      <c r="B8" s="81"/>
      <c r="C8" s="24"/>
      <c r="D8" s="70" t="s">
        <v>1586</v>
      </c>
      <c r="E8" s="24">
        <v>1</v>
      </c>
      <c r="F8" s="71" t="s">
        <v>1762</v>
      </c>
      <c r="G8" s="24">
        <v>1</v>
      </c>
      <c r="H8" s="72"/>
      <c r="I8" s="24"/>
      <c r="J8" s="72" t="s">
        <v>1048</v>
      </c>
      <c r="K8" s="24">
        <v>5</v>
      </c>
      <c r="L8" s="72" t="s">
        <v>1584</v>
      </c>
      <c r="M8" s="82">
        <v>1</v>
      </c>
      <c r="N8" s="48"/>
      <c r="O8" s="48"/>
      <c r="P8" s="48"/>
      <c r="Q8" s="50"/>
    </row>
    <row r="9" spans="1:18" ht="21" customHeight="1" x14ac:dyDescent="0.2">
      <c r="A9" s="51"/>
      <c r="B9" s="81"/>
      <c r="C9" s="24"/>
      <c r="D9" s="70" t="s">
        <v>1761</v>
      </c>
      <c r="E9" s="24">
        <v>1</v>
      </c>
      <c r="F9" s="71" t="s">
        <v>1781</v>
      </c>
      <c r="G9" s="24">
        <v>1</v>
      </c>
      <c r="H9" s="72"/>
      <c r="I9" s="24"/>
      <c r="J9" s="72" t="s">
        <v>94</v>
      </c>
      <c r="K9" s="24">
        <v>1</v>
      </c>
      <c r="L9" s="72" t="s">
        <v>1587</v>
      </c>
      <c r="M9" s="82">
        <v>1</v>
      </c>
      <c r="N9" s="48"/>
      <c r="O9" s="48"/>
      <c r="P9" s="48"/>
      <c r="Q9" s="52"/>
    </row>
    <row r="10" spans="1:18" ht="20.25" customHeight="1" x14ac:dyDescent="0.2">
      <c r="A10" s="51"/>
      <c r="B10" s="81"/>
      <c r="C10" s="24"/>
      <c r="D10" s="70"/>
      <c r="E10" s="24"/>
      <c r="F10" s="71"/>
      <c r="G10" s="24"/>
      <c r="H10" s="72"/>
      <c r="I10" s="24"/>
      <c r="J10" s="72" t="s">
        <v>1586</v>
      </c>
      <c r="K10" s="24">
        <v>1</v>
      </c>
      <c r="L10" s="72" t="s">
        <v>1589</v>
      </c>
      <c r="M10" s="82">
        <v>1</v>
      </c>
      <c r="N10" s="48"/>
      <c r="O10" s="48"/>
      <c r="P10" s="48"/>
      <c r="Q10" s="52"/>
    </row>
    <row r="11" spans="1:18" ht="19.5" customHeight="1" x14ac:dyDescent="0.2">
      <c r="A11" s="51"/>
      <c r="B11" s="81"/>
      <c r="C11" s="24"/>
      <c r="D11" s="70"/>
      <c r="E11" s="24"/>
      <c r="F11" s="71"/>
      <c r="G11" s="24"/>
      <c r="H11" s="72"/>
      <c r="I11" s="24"/>
      <c r="J11" s="72" t="s">
        <v>1588</v>
      </c>
      <c r="K11" s="24">
        <v>2</v>
      </c>
      <c r="L11" s="72" t="s">
        <v>1590</v>
      </c>
      <c r="M11" s="82">
        <v>1</v>
      </c>
      <c r="N11" s="48"/>
      <c r="O11" s="48"/>
      <c r="P11" s="48"/>
      <c r="Q11" s="52"/>
    </row>
    <row r="12" spans="1:18" ht="21" customHeight="1" x14ac:dyDescent="0.2">
      <c r="A12" s="51"/>
      <c r="B12" s="81"/>
      <c r="C12" s="24"/>
      <c r="D12" s="70"/>
      <c r="E12" s="24"/>
      <c r="F12" s="74"/>
      <c r="G12" s="24"/>
      <c r="H12" s="72"/>
      <c r="I12" s="24"/>
      <c r="J12" s="72" t="s">
        <v>1585</v>
      </c>
      <c r="K12" s="24">
        <v>1</v>
      </c>
      <c r="L12" s="72" t="s">
        <v>1591</v>
      </c>
      <c r="M12" s="82">
        <v>1</v>
      </c>
      <c r="N12" s="48"/>
      <c r="O12" s="48"/>
      <c r="P12" s="48"/>
      <c r="Q12" s="52"/>
    </row>
    <row r="13" spans="1:18" ht="21" customHeight="1" x14ac:dyDescent="0.2">
      <c r="A13" s="51"/>
      <c r="B13" s="81"/>
      <c r="C13" s="24"/>
      <c r="D13" s="70"/>
      <c r="E13" s="24"/>
      <c r="F13" s="74"/>
      <c r="G13" s="24"/>
      <c r="H13" s="72"/>
      <c r="I13" s="24"/>
      <c r="J13" s="72" t="s">
        <v>1592</v>
      </c>
      <c r="K13" s="24">
        <v>1</v>
      </c>
      <c r="L13" s="72" t="s">
        <v>1768</v>
      </c>
      <c r="M13" s="82">
        <v>1</v>
      </c>
      <c r="N13" s="48"/>
      <c r="O13" s="48"/>
      <c r="P13" s="48"/>
      <c r="Q13" s="52"/>
    </row>
    <row r="14" spans="1:18" ht="21" customHeight="1" x14ac:dyDescent="0.2">
      <c r="A14" s="51"/>
      <c r="B14" s="81"/>
      <c r="C14" s="24"/>
      <c r="D14" s="70"/>
      <c r="E14" s="24"/>
      <c r="F14" s="74"/>
      <c r="G14" s="24"/>
      <c r="H14" s="72"/>
      <c r="I14" s="24"/>
      <c r="J14" s="72" t="s">
        <v>1761</v>
      </c>
      <c r="K14" s="24">
        <v>1</v>
      </c>
      <c r="L14" s="72"/>
      <c r="M14" s="82"/>
      <c r="N14" s="48"/>
      <c r="O14" s="48"/>
      <c r="P14" s="48"/>
      <c r="Q14" s="52"/>
    </row>
    <row r="15" spans="1:18" ht="21" customHeight="1" x14ac:dyDescent="0.2">
      <c r="A15" s="51"/>
      <c r="B15" s="81"/>
      <c r="C15" s="24"/>
      <c r="D15" s="70"/>
      <c r="E15" s="24"/>
      <c r="F15" s="74"/>
      <c r="G15" s="24"/>
      <c r="H15" s="72"/>
      <c r="I15" s="24"/>
      <c r="J15" s="72" t="s">
        <v>1762</v>
      </c>
      <c r="K15" s="24">
        <v>1</v>
      </c>
      <c r="L15" s="72"/>
      <c r="M15" s="82"/>
      <c r="N15" s="48"/>
      <c r="O15" s="48"/>
      <c r="P15" s="48"/>
      <c r="Q15" s="52"/>
    </row>
    <row r="16" spans="1:18" ht="21" customHeight="1" x14ac:dyDescent="0.2">
      <c r="A16" s="51"/>
      <c r="B16" s="81"/>
      <c r="C16" s="24"/>
      <c r="D16" s="70"/>
      <c r="E16" s="24"/>
      <c r="F16" s="74"/>
      <c r="G16" s="24"/>
      <c r="H16" s="72"/>
      <c r="I16" s="24"/>
      <c r="J16" s="72" t="s">
        <v>1781</v>
      </c>
      <c r="K16" s="24">
        <v>1</v>
      </c>
      <c r="L16" s="72"/>
      <c r="M16" s="82"/>
      <c r="N16" s="48"/>
      <c r="O16" s="48"/>
      <c r="P16" s="48"/>
      <c r="Q16" s="52"/>
    </row>
    <row r="17" spans="1:17" ht="21.75" customHeight="1" x14ac:dyDescent="0.2">
      <c r="A17" s="47"/>
      <c r="B17" s="81"/>
      <c r="C17" s="24"/>
      <c r="D17" s="70"/>
      <c r="E17" s="24"/>
      <c r="F17" s="74"/>
      <c r="G17" s="24"/>
      <c r="H17" s="72"/>
      <c r="I17" s="24"/>
      <c r="J17" s="72"/>
      <c r="K17" s="24"/>
      <c r="L17" s="72"/>
      <c r="M17" s="82"/>
      <c r="N17" s="48"/>
      <c r="O17" s="48"/>
      <c r="P17" s="48"/>
      <c r="Q17" s="56"/>
    </row>
    <row r="18" spans="1:17" ht="21" customHeight="1" x14ac:dyDescent="0.2">
      <c r="A18" s="51"/>
      <c r="B18" s="81"/>
      <c r="C18" s="24"/>
      <c r="D18" s="70"/>
      <c r="E18" s="24"/>
      <c r="F18" s="74"/>
      <c r="G18" s="24"/>
      <c r="H18" s="72"/>
      <c r="I18" s="24"/>
      <c r="J18" s="72"/>
      <c r="K18" s="24"/>
      <c r="L18" s="72"/>
      <c r="M18" s="82"/>
      <c r="N18" s="48"/>
      <c r="O18" s="48"/>
      <c r="P18" s="48"/>
      <c r="Q18" s="52"/>
    </row>
    <row r="19" spans="1:17" ht="22.5" customHeight="1" x14ac:dyDescent="0.2">
      <c r="A19" s="51"/>
      <c r="B19" s="81"/>
      <c r="C19" s="24"/>
      <c r="D19" s="70"/>
      <c r="E19" s="24"/>
      <c r="F19" s="71"/>
      <c r="G19" s="24"/>
      <c r="H19" s="71"/>
      <c r="I19" s="24"/>
      <c r="J19" s="71"/>
      <c r="K19" s="24"/>
      <c r="L19" s="71"/>
      <c r="M19" s="82"/>
      <c r="N19" s="48"/>
      <c r="O19" s="48"/>
      <c r="P19" s="48"/>
      <c r="Q19" s="57"/>
    </row>
    <row r="20" spans="1:17" ht="22.5" customHeight="1" x14ac:dyDescent="0.2">
      <c r="A20" s="51"/>
      <c r="B20" s="81"/>
      <c r="C20" s="24"/>
      <c r="D20" s="70"/>
      <c r="E20" s="24"/>
      <c r="F20" s="71"/>
      <c r="G20" s="24"/>
      <c r="H20" s="71"/>
      <c r="I20" s="24"/>
      <c r="J20" s="71"/>
      <c r="K20" s="24"/>
      <c r="L20" s="71"/>
      <c r="M20" s="82"/>
      <c r="N20" s="48"/>
      <c r="O20" s="48"/>
      <c r="P20" s="48"/>
      <c r="Q20" s="57"/>
    </row>
    <row r="21" spans="1:17" ht="22.5" customHeight="1" x14ac:dyDescent="0.2">
      <c r="A21" s="51"/>
      <c r="B21" s="81"/>
      <c r="C21" s="24"/>
      <c r="D21" s="70"/>
      <c r="E21" s="24"/>
      <c r="F21" s="71"/>
      <c r="G21" s="24"/>
      <c r="H21" s="71"/>
      <c r="I21" s="24"/>
      <c r="J21" s="71"/>
      <c r="K21" s="24"/>
      <c r="L21" s="71"/>
      <c r="M21" s="82"/>
      <c r="N21" s="48"/>
      <c r="O21" s="48"/>
      <c r="P21" s="48"/>
      <c r="Q21" s="57"/>
    </row>
    <row r="22" spans="1:17" ht="22.5" customHeight="1" x14ac:dyDescent="0.2">
      <c r="A22" s="51"/>
      <c r="B22" s="81"/>
      <c r="C22" s="24"/>
      <c r="D22" s="70"/>
      <c r="E22" s="24"/>
      <c r="F22" s="71"/>
      <c r="G22" s="24"/>
      <c r="H22" s="71"/>
      <c r="I22" s="24"/>
      <c r="J22" s="71"/>
      <c r="K22" s="24"/>
      <c r="L22" s="71"/>
      <c r="M22" s="82"/>
      <c r="N22" s="48"/>
      <c r="O22" s="48"/>
      <c r="P22" s="48"/>
      <c r="Q22" s="57"/>
    </row>
    <row r="23" spans="1:17" ht="22.5" customHeight="1" x14ac:dyDescent="0.2">
      <c r="A23" s="51"/>
      <c r="B23" s="81"/>
      <c r="C23" s="24"/>
      <c r="D23" s="70"/>
      <c r="E23" s="24"/>
      <c r="F23" s="71"/>
      <c r="G23" s="24"/>
      <c r="H23" s="71"/>
      <c r="I23" s="24"/>
      <c r="J23" s="71"/>
      <c r="K23" s="24"/>
      <c r="L23" s="71"/>
      <c r="M23" s="82"/>
      <c r="N23" s="48"/>
      <c r="O23" s="48"/>
      <c r="P23" s="48"/>
      <c r="Q23" s="57"/>
    </row>
    <row r="24" spans="1:17" ht="22.5" customHeight="1" x14ac:dyDescent="0.2">
      <c r="A24" s="51"/>
      <c r="B24" s="81"/>
      <c r="C24" s="24"/>
      <c r="D24" s="70"/>
      <c r="E24" s="24"/>
      <c r="F24" s="71"/>
      <c r="G24" s="24"/>
      <c r="H24" s="71"/>
      <c r="I24" s="24"/>
      <c r="J24" s="71"/>
      <c r="K24" s="24"/>
      <c r="L24" s="71"/>
      <c r="M24" s="82"/>
      <c r="N24" s="48"/>
      <c r="O24" s="48"/>
      <c r="P24" s="48"/>
      <c r="Q24" s="57"/>
    </row>
    <row r="25" spans="1:17" ht="22.5" customHeight="1" thickBot="1" x14ac:dyDescent="0.25">
      <c r="A25" s="51"/>
      <c r="B25" s="83" t="s">
        <v>31</v>
      </c>
      <c r="C25" s="84">
        <f>SUM(C4:C24)</f>
        <v>1</v>
      </c>
      <c r="D25" s="85" t="s">
        <v>31</v>
      </c>
      <c r="E25" s="84">
        <f>SUM(E4:E24)</f>
        <v>9</v>
      </c>
      <c r="F25" s="85" t="s">
        <v>31</v>
      </c>
      <c r="G25" s="84">
        <f>SUM(G4:G24)</f>
        <v>16</v>
      </c>
      <c r="H25" s="85" t="s">
        <v>31</v>
      </c>
      <c r="I25" s="84">
        <f>SUM(I4:I24)</f>
        <v>3</v>
      </c>
      <c r="J25" s="85" t="s">
        <v>31</v>
      </c>
      <c r="K25" s="84">
        <f>SUM(K4:K24)</f>
        <v>64</v>
      </c>
      <c r="L25" s="85" t="s">
        <v>31</v>
      </c>
      <c r="M25" s="86">
        <f>SUM(M4:M24)</f>
        <v>36</v>
      </c>
      <c r="N25" s="48"/>
      <c r="O25" s="48"/>
      <c r="P25" s="48"/>
      <c r="Q25" s="57"/>
    </row>
    <row r="26" spans="1:17" ht="14.25" customHeight="1" x14ac:dyDescent="0.2">
      <c r="A26" s="51"/>
      <c r="B26" s="42"/>
      <c r="C26" s="42"/>
      <c r="D26" s="42"/>
      <c r="E26" s="42"/>
      <c r="F26" s="42"/>
      <c r="G26" s="42"/>
      <c r="H26" s="42"/>
      <c r="I26" s="42"/>
      <c r="J26" s="42"/>
      <c r="K26" s="42"/>
      <c r="L26" s="42"/>
      <c r="M26" s="42"/>
      <c r="N26" s="48"/>
      <c r="O26" s="48"/>
      <c r="P26" s="48"/>
      <c r="Q26" s="52"/>
    </row>
    <row r="27" spans="1:17" ht="14.25" customHeight="1" x14ac:dyDescent="0.2">
      <c r="A27" s="51"/>
      <c r="B27" s="52"/>
      <c r="C27" s="52"/>
      <c r="D27" s="52"/>
      <c r="E27" s="52"/>
      <c r="F27" s="58"/>
      <c r="G27" s="48"/>
      <c r="H27" s="48"/>
      <c r="I27" s="53"/>
      <c r="J27" s="48"/>
      <c r="K27" s="48"/>
      <c r="L27" s="48"/>
      <c r="M27" s="48"/>
      <c r="N27" s="48"/>
      <c r="O27" s="48"/>
      <c r="P27" s="48"/>
      <c r="Q27" s="52"/>
    </row>
    <row r="28" spans="1:17" ht="14.25" customHeight="1" x14ac:dyDescent="0.2">
      <c r="A28" s="51"/>
      <c r="B28" s="52"/>
      <c r="C28" s="52"/>
      <c r="D28" s="52"/>
      <c r="E28" s="52"/>
      <c r="F28" s="58"/>
      <c r="G28" s="48"/>
      <c r="H28" s="48"/>
      <c r="I28" s="53"/>
      <c r="J28" s="48"/>
      <c r="K28" s="48"/>
      <c r="L28" s="48"/>
      <c r="M28" s="48"/>
      <c r="N28" s="48"/>
      <c r="O28" s="48"/>
      <c r="P28" s="49"/>
      <c r="Q28" s="50"/>
    </row>
    <row r="29" spans="1:17" ht="14.25" customHeight="1" x14ac:dyDescent="0.2">
      <c r="A29" s="51"/>
      <c r="B29" s="52"/>
      <c r="C29" s="52"/>
      <c r="D29" s="52"/>
      <c r="E29" s="52"/>
      <c r="F29" s="58"/>
      <c r="G29" s="48"/>
      <c r="H29" s="48"/>
      <c r="I29" s="53"/>
      <c r="J29" s="48"/>
      <c r="K29" s="48"/>
      <c r="L29" s="48"/>
      <c r="M29" s="48"/>
      <c r="N29" s="48"/>
      <c r="O29" s="48"/>
      <c r="P29" s="48"/>
      <c r="Q29" s="52"/>
    </row>
    <row r="30" spans="1:17" ht="14.25" customHeight="1" x14ac:dyDescent="0.2">
      <c r="A30" s="51"/>
      <c r="B30" s="52"/>
      <c r="C30" s="52"/>
      <c r="D30" s="52"/>
      <c r="E30" s="52"/>
      <c r="F30" s="58"/>
      <c r="G30" s="48"/>
      <c r="H30" s="48"/>
      <c r="I30" s="53"/>
      <c r="J30" s="48"/>
      <c r="K30" s="48"/>
      <c r="L30" s="48"/>
      <c r="M30" s="48"/>
      <c r="N30" s="48"/>
      <c r="O30" s="48"/>
      <c r="P30" s="48"/>
      <c r="Q30" s="52"/>
    </row>
    <row r="31" spans="1:17" ht="14.25" customHeight="1" x14ac:dyDescent="0.2">
      <c r="A31" s="51"/>
      <c r="B31" s="52"/>
      <c r="C31" s="52"/>
      <c r="D31" s="52"/>
      <c r="E31" s="52"/>
      <c r="F31" s="58"/>
      <c r="G31" s="48"/>
      <c r="H31" s="48"/>
      <c r="I31" s="53"/>
      <c r="J31" s="48"/>
      <c r="K31" s="48"/>
      <c r="L31" s="48"/>
      <c r="M31" s="48"/>
      <c r="N31" s="48"/>
      <c r="O31" s="48"/>
      <c r="P31" s="48"/>
      <c r="Q31" s="52"/>
    </row>
    <row r="32" spans="1:17" ht="14.25" customHeight="1" x14ac:dyDescent="0.2">
      <c r="A32" s="51"/>
      <c r="B32" s="52"/>
      <c r="C32" s="52"/>
      <c r="D32" s="52"/>
      <c r="E32" s="52"/>
      <c r="F32" s="58"/>
      <c r="G32" s="48"/>
      <c r="H32" s="48"/>
      <c r="I32" s="53"/>
      <c r="J32" s="48"/>
      <c r="K32" s="48"/>
      <c r="L32" s="48"/>
      <c r="M32" s="48"/>
      <c r="N32" s="48"/>
      <c r="O32" s="48"/>
      <c r="P32" s="48"/>
      <c r="Q32" s="52"/>
    </row>
    <row r="33" spans="1:17" ht="14.25" customHeight="1" x14ac:dyDescent="0.2">
      <c r="A33" s="51"/>
      <c r="B33" s="52"/>
      <c r="C33" s="52"/>
      <c r="D33" s="52"/>
      <c r="E33" s="52"/>
      <c r="F33" s="58"/>
      <c r="G33" s="48"/>
      <c r="H33" s="48"/>
      <c r="I33" s="53"/>
      <c r="J33" s="48"/>
      <c r="K33" s="48"/>
      <c r="L33" s="48"/>
      <c r="M33" s="48"/>
      <c r="N33" s="48"/>
      <c r="O33" s="48"/>
      <c r="P33" s="48"/>
      <c r="Q33" s="52"/>
    </row>
    <row r="34" spans="1:17" ht="14.25" customHeight="1" x14ac:dyDescent="0.2">
      <c r="A34" s="47"/>
      <c r="B34" s="52"/>
      <c r="C34" s="52"/>
      <c r="D34" s="52"/>
      <c r="E34" s="52"/>
      <c r="F34" s="58"/>
      <c r="G34" s="48"/>
      <c r="H34" s="48"/>
      <c r="I34" s="53"/>
      <c r="J34" s="48"/>
      <c r="K34" s="48"/>
      <c r="L34" s="48"/>
      <c r="M34" s="48"/>
      <c r="N34" s="48"/>
      <c r="O34" s="48"/>
      <c r="P34" s="48"/>
      <c r="Q34" s="52"/>
    </row>
    <row r="35" spans="1:17" ht="14.25" customHeight="1" x14ac:dyDescent="0.2">
      <c r="A35" s="51"/>
      <c r="B35" s="52"/>
      <c r="C35" s="52"/>
      <c r="D35" s="52"/>
      <c r="E35" s="52"/>
      <c r="F35" s="58"/>
      <c r="G35" s="48"/>
      <c r="H35" s="48"/>
      <c r="I35" s="53"/>
      <c r="J35" s="48"/>
      <c r="K35" s="48"/>
      <c r="L35" s="48"/>
      <c r="M35" s="48"/>
      <c r="N35" s="48"/>
      <c r="O35" s="48"/>
      <c r="P35" s="48"/>
      <c r="Q35" s="52"/>
    </row>
    <row r="36" spans="1:17" ht="14.25" customHeight="1" x14ac:dyDescent="0.2">
      <c r="A36" s="51"/>
      <c r="B36" s="52"/>
      <c r="C36" s="52"/>
      <c r="D36" s="52"/>
      <c r="E36" s="52"/>
      <c r="F36" s="58"/>
      <c r="G36" s="48"/>
      <c r="H36" s="48"/>
      <c r="I36" s="53"/>
      <c r="J36" s="48"/>
      <c r="K36" s="48"/>
      <c r="L36" s="48"/>
      <c r="M36" s="48"/>
      <c r="N36" s="48"/>
      <c r="O36" s="48"/>
      <c r="P36" s="48"/>
      <c r="Q36" s="52"/>
    </row>
    <row r="37" spans="1:17" ht="14.25" customHeight="1" x14ac:dyDescent="0.2">
      <c r="A37" s="51"/>
      <c r="B37" s="52"/>
      <c r="C37" s="52"/>
      <c r="D37" s="52"/>
      <c r="E37" s="52"/>
      <c r="F37" s="58"/>
      <c r="G37" s="48"/>
      <c r="H37" s="48"/>
      <c r="I37" s="53"/>
      <c r="J37" s="48"/>
      <c r="K37" s="48"/>
      <c r="L37" s="48"/>
      <c r="M37" s="48"/>
      <c r="N37" s="48"/>
      <c r="O37" s="48"/>
      <c r="P37" s="48"/>
      <c r="Q37" s="52"/>
    </row>
    <row r="38" spans="1:17" ht="14.25" customHeight="1" x14ac:dyDescent="0.2">
      <c r="A38" s="51"/>
      <c r="B38" s="52"/>
      <c r="C38" s="52"/>
      <c r="D38" s="52"/>
      <c r="E38" s="52"/>
      <c r="F38" s="58"/>
      <c r="G38" s="48"/>
      <c r="H38" s="48"/>
      <c r="I38" s="53"/>
      <c r="J38" s="48"/>
      <c r="K38" s="48"/>
      <c r="L38" s="48"/>
      <c r="M38" s="48"/>
      <c r="N38" s="48"/>
      <c r="O38" s="48"/>
      <c r="P38" s="48"/>
      <c r="Q38" s="52"/>
    </row>
    <row r="39" spans="1:17" ht="14.25" customHeight="1" x14ac:dyDescent="0.2">
      <c r="A39" s="51"/>
      <c r="B39" s="52"/>
      <c r="C39" s="52"/>
      <c r="D39" s="52"/>
      <c r="E39" s="52"/>
      <c r="F39" s="58"/>
      <c r="G39" s="48"/>
      <c r="H39" s="48"/>
      <c r="I39" s="53"/>
      <c r="J39" s="48"/>
      <c r="K39" s="48"/>
      <c r="L39" s="48"/>
      <c r="M39" s="48"/>
      <c r="N39" s="48"/>
      <c r="O39" s="48"/>
      <c r="P39" s="48"/>
      <c r="Q39" s="52"/>
    </row>
    <row r="40" spans="1:17" ht="14.25" customHeight="1" x14ac:dyDescent="0.2">
      <c r="A40" s="51"/>
      <c r="B40" s="52"/>
      <c r="C40" s="52"/>
      <c r="D40" s="52"/>
      <c r="E40" s="52"/>
      <c r="F40" s="58"/>
      <c r="G40" s="48"/>
      <c r="H40" s="48"/>
      <c r="I40" s="53"/>
      <c r="J40" s="48"/>
      <c r="K40" s="48"/>
      <c r="L40" s="48"/>
      <c r="M40" s="48"/>
      <c r="N40" s="48"/>
      <c r="O40" s="48"/>
      <c r="P40" s="49"/>
      <c r="Q40" s="50"/>
    </row>
    <row r="41" spans="1:17" ht="14.25" customHeight="1" x14ac:dyDescent="0.2">
      <c r="A41" s="51"/>
      <c r="B41" s="52"/>
      <c r="C41" s="52"/>
      <c r="D41" s="52"/>
      <c r="E41" s="52"/>
      <c r="F41" s="58"/>
      <c r="G41" s="48"/>
      <c r="H41" s="48"/>
      <c r="I41" s="53"/>
      <c r="J41" s="48"/>
      <c r="K41" s="48"/>
      <c r="L41" s="48"/>
      <c r="M41" s="48"/>
      <c r="N41" s="48"/>
      <c r="O41" s="48"/>
      <c r="P41" s="48"/>
      <c r="Q41" s="52"/>
    </row>
    <row r="42" spans="1:17" ht="14.25" customHeight="1" x14ac:dyDescent="0.2">
      <c r="A42" s="51"/>
      <c r="B42" s="52"/>
      <c r="C42" s="52"/>
      <c r="D42" s="52"/>
      <c r="E42" s="52"/>
      <c r="F42" s="58"/>
      <c r="G42" s="48"/>
      <c r="H42" s="48"/>
      <c r="I42" s="53"/>
      <c r="J42" s="48"/>
      <c r="K42" s="48"/>
      <c r="L42" s="48"/>
      <c r="M42" s="48"/>
      <c r="N42" s="48"/>
      <c r="O42" s="48"/>
      <c r="P42" s="48"/>
      <c r="Q42" s="52"/>
    </row>
    <row r="43" spans="1:17" ht="14.25" customHeight="1" x14ac:dyDescent="0.2">
      <c r="A43" s="51"/>
      <c r="B43" s="52"/>
      <c r="C43" s="52"/>
      <c r="D43" s="52"/>
      <c r="E43" s="52"/>
      <c r="F43" s="58"/>
      <c r="G43" s="48"/>
      <c r="H43" s="48"/>
      <c r="I43" s="53"/>
      <c r="J43" s="48"/>
      <c r="K43" s="48"/>
      <c r="L43" s="48"/>
      <c r="M43" s="48"/>
      <c r="N43" s="48"/>
      <c r="O43" s="48"/>
      <c r="P43" s="48"/>
      <c r="Q43" s="52"/>
    </row>
    <row r="44" spans="1:17" ht="14.25" customHeight="1" x14ac:dyDescent="0.2">
      <c r="A44" s="51"/>
      <c r="B44" s="52"/>
      <c r="C44" s="52"/>
      <c r="D44" s="52"/>
      <c r="E44" s="52"/>
      <c r="F44" s="58"/>
      <c r="G44" s="48"/>
      <c r="H44" s="48"/>
      <c r="I44" s="53"/>
      <c r="J44" s="48"/>
      <c r="K44" s="48"/>
      <c r="L44" s="48"/>
      <c r="M44" s="48"/>
      <c r="N44" s="48"/>
      <c r="O44" s="48"/>
      <c r="P44" s="48"/>
      <c r="Q44" s="52"/>
    </row>
    <row r="45" spans="1:17" ht="14.25" customHeight="1" x14ac:dyDescent="0.2">
      <c r="A45" s="51"/>
      <c r="B45" s="52"/>
      <c r="C45" s="52"/>
      <c r="D45" s="52"/>
      <c r="E45" s="52"/>
      <c r="F45" s="58"/>
      <c r="G45" s="48"/>
      <c r="H45" s="48"/>
      <c r="I45" s="53"/>
      <c r="J45" s="48"/>
      <c r="K45" s="48"/>
      <c r="L45" s="48"/>
      <c r="M45" s="48"/>
      <c r="N45" s="48"/>
      <c r="O45" s="48"/>
      <c r="P45" s="48"/>
      <c r="Q45" s="52"/>
    </row>
    <row r="46" spans="1:17" ht="14.25" customHeight="1" x14ac:dyDescent="0.2">
      <c r="A46" s="51"/>
      <c r="B46" s="52"/>
      <c r="C46" s="52"/>
      <c r="D46" s="52"/>
      <c r="E46" s="52"/>
      <c r="F46" s="58"/>
      <c r="G46" s="48"/>
      <c r="H46" s="48"/>
      <c r="I46" s="53"/>
      <c r="J46" s="48"/>
      <c r="K46" s="48"/>
      <c r="L46" s="48"/>
      <c r="M46" s="48"/>
      <c r="N46" s="48"/>
      <c r="O46" s="48"/>
      <c r="P46" s="48"/>
      <c r="Q46" s="52"/>
    </row>
    <row r="47" spans="1:17" ht="14.25" customHeight="1" x14ac:dyDescent="0.2">
      <c r="A47" s="51"/>
      <c r="B47" s="52"/>
      <c r="C47" s="52"/>
      <c r="D47" s="52"/>
      <c r="E47" s="52"/>
      <c r="F47" s="58"/>
      <c r="G47" s="48"/>
      <c r="H47" s="48"/>
      <c r="I47" s="53"/>
      <c r="J47" s="48"/>
      <c r="K47" s="48"/>
      <c r="L47" s="48"/>
      <c r="M47" s="48"/>
      <c r="N47" s="48"/>
      <c r="O47" s="48"/>
      <c r="P47" s="48"/>
      <c r="Q47" s="52"/>
    </row>
    <row r="48" spans="1:17" ht="14.25" customHeight="1" x14ac:dyDescent="0.2">
      <c r="A48" s="51"/>
      <c r="B48" s="52"/>
      <c r="C48" s="52"/>
      <c r="D48" s="52"/>
      <c r="E48" s="52"/>
      <c r="F48" s="58"/>
      <c r="G48" s="48"/>
      <c r="H48" s="48"/>
      <c r="I48" s="53"/>
      <c r="J48" s="48"/>
      <c r="K48" s="48"/>
      <c r="L48" s="48"/>
      <c r="M48" s="48"/>
      <c r="N48" s="48"/>
      <c r="O48" s="48"/>
      <c r="P48" s="48"/>
      <c r="Q48" s="52"/>
    </row>
    <row r="49" spans="1:17" ht="14.25" customHeight="1" x14ac:dyDescent="0.2">
      <c r="A49" s="51"/>
      <c r="B49" s="52"/>
      <c r="C49" s="52"/>
      <c r="D49" s="52"/>
      <c r="E49" s="52"/>
      <c r="F49" s="58"/>
      <c r="G49" s="48"/>
      <c r="H49" s="48"/>
      <c r="I49" s="53"/>
      <c r="J49" s="48"/>
      <c r="K49" s="48"/>
      <c r="L49" s="48"/>
      <c r="M49" s="48"/>
      <c r="N49" s="48"/>
      <c r="O49" s="48"/>
      <c r="P49" s="48"/>
      <c r="Q49" s="52"/>
    </row>
    <row r="50" spans="1:17" ht="14.25" customHeight="1" x14ac:dyDescent="0.2">
      <c r="A50" s="51"/>
      <c r="B50" s="52"/>
      <c r="C50" s="52"/>
      <c r="D50" s="52"/>
      <c r="E50" s="52"/>
      <c r="F50" s="58"/>
      <c r="G50" s="48"/>
      <c r="H50" s="48"/>
      <c r="I50" s="53"/>
      <c r="J50" s="48"/>
      <c r="K50" s="48"/>
      <c r="L50" s="48"/>
      <c r="M50" s="48"/>
      <c r="N50" s="48"/>
      <c r="O50" s="48"/>
      <c r="P50" s="48"/>
      <c r="Q50" s="52"/>
    </row>
    <row r="51" spans="1:17" ht="14.25" customHeight="1" x14ac:dyDescent="0.2">
      <c r="A51" s="51"/>
      <c r="B51" s="52"/>
      <c r="C51" s="52"/>
      <c r="D51" s="52"/>
      <c r="E51" s="52"/>
      <c r="F51" s="58"/>
      <c r="G51" s="48"/>
      <c r="H51" s="48"/>
      <c r="I51" s="53"/>
      <c r="J51" s="48"/>
      <c r="K51" s="48"/>
      <c r="L51" s="48"/>
      <c r="M51" s="48"/>
      <c r="N51" s="48"/>
      <c r="O51" s="48"/>
      <c r="P51" s="48"/>
      <c r="Q51" s="52"/>
    </row>
    <row r="52" spans="1:17" ht="14.25" customHeight="1" x14ac:dyDescent="0.2">
      <c r="A52" s="51"/>
      <c r="B52" s="52"/>
      <c r="C52" s="52"/>
      <c r="D52" s="52"/>
      <c r="E52" s="52"/>
      <c r="F52" s="58"/>
      <c r="G52" s="48"/>
      <c r="H52" s="48"/>
      <c r="I52" s="53"/>
      <c r="J52" s="48"/>
      <c r="K52" s="48"/>
      <c r="L52" s="48"/>
      <c r="M52" s="48"/>
      <c r="N52" s="48"/>
      <c r="O52" s="48"/>
      <c r="P52" s="48"/>
      <c r="Q52" s="52"/>
    </row>
    <row r="53" spans="1:17" ht="14.25" customHeight="1" x14ac:dyDescent="0.2">
      <c r="A53" s="51"/>
      <c r="B53" s="52"/>
      <c r="C53" s="52"/>
      <c r="D53" s="52"/>
      <c r="E53" s="52"/>
      <c r="F53" s="58"/>
      <c r="G53" s="48"/>
      <c r="H53" s="48"/>
      <c r="I53" s="53"/>
      <c r="J53" s="48"/>
      <c r="K53" s="48"/>
      <c r="L53" s="48"/>
      <c r="M53" s="48"/>
      <c r="N53" s="48"/>
      <c r="O53" s="48"/>
      <c r="P53" s="48"/>
      <c r="Q53" s="52"/>
    </row>
    <row r="54" spans="1:17" ht="14.25" customHeight="1" x14ac:dyDescent="0.2">
      <c r="A54" s="51"/>
      <c r="B54" s="52"/>
      <c r="C54" s="52"/>
      <c r="D54" s="52"/>
      <c r="E54" s="52"/>
      <c r="F54" s="58"/>
      <c r="G54" s="48"/>
      <c r="H54" s="48"/>
      <c r="I54" s="53"/>
      <c r="J54" s="48"/>
      <c r="K54" s="48"/>
      <c r="L54" s="48"/>
      <c r="M54" s="48"/>
      <c r="N54" s="48"/>
      <c r="O54" s="48"/>
      <c r="P54" s="48"/>
      <c r="Q54" s="52"/>
    </row>
    <row r="55" spans="1:17" ht="14.25" customHeight="1" x14ac:dyDescent="0.2">
      <c r="A55" s="51"/>
      <c r="B55" s="52"/>
      <c r="C55" s="52"/>
      <c r="D55" s="52"/>
      <c r="E55" s="52"/>
      <c r="F55" s="58"/>
      <c r="G55" s="48"/>
      <c r="H55" s="48"/>
      <c r="I55" s="53"/>
      <c r="J55" s="48"/>
      <c r="K55" s="48"/>
      <c r="L55" s="48"/>
      <c r="M55" s="48"/>
      <c r="N55" s="48"/>
      <c r="O55" s="48"/>
      <c r="P55" s="48"/>
      <c r="Q55" s="52"/>
    </row>
    <row r="56" spans="1:17" ht="14.25" customHeight="1" x14ac:dyDescent="0.2">
      <c r="A56" s="47"/>
      <c r="B56" s="59"/>
      <c r="C56" s="52"/>
      <c r="D56" s="52"/>
      <c r="E56" s="52"/>
      <c r="F56" s="58"/>
      <c r="G56" s="60"/>
      <c r="H56" s="61"/>
      <c r="I56" s="53"/>
      <c r="J56" s="62"/>
      <c r="K56" s="62"/>
      <c r="L56" s="62"/>
      <c r="M56" s="62"/>
      <c r="N56" s="62"/>
      <c r="O56" s="63"/>
      <c r="P56" s="64"/>
      <c r="Q56" s="62"/>
    </row>
    <row r="57" spans="1:17" ht="14.25" customHeight="1" x14ac:dyDescent="0.2">
      <c r="A57" s="47"/>
      <c r="B57" s="65"/>
      <c r="C57" s="52"/>
      <c r="D57" s="52"/>
      <c r="E57" s="52"/>
      <c r="F57" s="58"/>
      <c r="G57" s="60"/>
      <c r="H57" s="61"/>
      <c r="I57" s="53"/>
      <c r="J57" s="62"/>
      <c r="K57" s="48"/>
      <c r="L57" s="62"/>
      <c r="M57" s="62"/>
      <c r="N57" s="62"/>
      <c r="O57" s="62"/>
      <c r="P57" s="48"/>
      <c r="Q57" s="52"/>
    </row>
    <row r="58" spans="1:17" ht="14.25" customHeight="1" x14ac:dyDescent="0.2">
      <c r="A58" s="47"/>
      <c r="B58" s="52"/>
      <c r="C58" s="52"/>
      <c r="D58" s="52"/>
      <c r="E58" s="52"/>
      <c r="F58" s="58"/>
      <c r="G58" s="48"/>
      <c r="H58" s="48"/>
      <c r="I58" s="53"/>
      <c r="J58" s="48"/>
      <c r="K58" s="48"/>
      <c r="L58" s="48"/>
      <c r="M58" s="48"/>
      <c r="N58" s="48"/>
      <c r="O58" s="48"/>
      <c r="P58" s="48"/>
      <c r="Q58" s="52"/>
    </row>
    <row r="59" spans="1:17" ht="14.25" customHeight="1" x14ac:dyDescent="0.2">
      <c r="A59" s="47"/>
      <c r="B59" s="52"/>
      <c r="C59" s="52"/>
      <c r="D59" s="52"/>
      <c r="E59" s="52"/>
      <c r="F59" s="58"/>
      <c r="G59" s="48"/>
      <c r="H59" s="48"/>
      <c r="I59" s="53"/>
      <c r="J59" s="48"/>
      <c r="K59" s="48"/>
      <c r="L59" s="48"/>
      <c r="M59" s="48"/>
      <c r="N59" s="48"/>
      <c r="O59" s="48"/>
      <c r="P59" s="48"/>
      <c r="Q59" s="52"/>
    </row>
    <row r="60" spans="1:17" ht="14.25" customHeight="1" x14ac:dyDescent="0.2">
      <c r="A60" s="51"/>
      <c r="B60" s="52"/>
      <c r="C60" s="52"/>
      <c r="D60" s="52"/>
      <c r="E60" s="52"/>
      <c r="F60" s="58"/>
      <c r="G60" s="48"/>
      <c r="H60" s="48"/>
      <c r="I60" s="53"/>
      <c r="J60" s="48"/>
      <c r="K60" s="48"/>
      <c r="L60" s="48"/>
      <c r="M60" s="48"/>
      <c r="N60" s="48"/>
      <c r="O60" s="48"/>
      <c r="P60" s="48"/>
      <c r="Q60" s="52"/>
    </row>
    <row r="61" spans="1:17" ht="14.25" customHeight="1" x14ac:dyDescent="0.2">
      <c r="A61" s="47"/>
      <c r="B61" s="52"/>
      <c r="C61" s="52"/>
      <c r="D61" s="52"/>
      <c r="E61" s="52"/>
      <c r="F61" s="58"/>
      <c r="G61" s="48"/>
      <c r="H61" s="48"/>
      <c r="I61" s="53"/>
      <c r="J61" s="48"/>
      <c r="K61" s="48"/>
      <c r="L61" s="48"/>
      <c r="M61" s="48"/>
      <c r="N61" s="48"/>
      <c r="O61" s="48"/>
      <c r="P61" s="48"/>
      <c r="Q61" s="52"/>
    </row>
    <row r="62" spans="1:17" ht="14.25" customHeight="1" x14ac:dyDescent="0.2">
      <c r="A62" s="51"/>
      <c r="B62" s="52"/>
      <c r="C62" s="52"/>
      <c r="D62" s="52"/>
      <c r="E62" s="52"/>
      <c r="F62" s="58"/>
      <c r="G62" s="48"/>
      <c r="H62" s="48"/>
      <c r="I62" s="53"/>
      <c r="J62" s="48"/>
      <c r="K62" s="48"/>
      <c r="L62" s="48"/>
      <c r="M62" s="48"/>
      <c r="N62" s="48"/>
      <c r="O62" s="48"/>
      <c r="P62" s="48"/>
      <c r="Q62" s="52"/>
    </row>
    <row r="63" spans="1:17" ht="14.25" customHeight="1" x14ac:dyDescent="0.2">
      <c r="A63" s="51"/>
      <c r="B63" s="52"/>
      <c r="C63" s="52"/>
      <c r="D63" s="52"/>
      <c r="E63" s="52"/>
      <c r="F63" s="58"/>
      <c r="G63" s="48"/>
      <c r="H63" s="48"/>
      <c r="I63" s="53"/>
      <c r="J63" s="48"/>
      <c r="K63" s="48"/>
      <c r="L63" s="48"/>
      <c r="M63" s="48"/>
      <c r="N63" s="48"/>
      <c r="O63" s="48"/>
      <c r="P63" s="48"/>
      <c r="Q63" s="52"/>
    </row>
    <row r="64" spans="1:17" ht="14.25" customHeight="1" x14ac:dyDescent="0.2">
      <c r="A64" s="51"/>
      <c r="B64" s="52"/>
      <c r="C64" s="52"/>
      <c r="D64" s="52"/>
      <c r="E64" s="52"/>
      <c r="F64" s="58"/>
      <c r="G64" s="48"/>
      <c r="H64" s="48"/>
      <c r="I64" s="53"/>
      <c r="J64" s="48"/>
      <c r="K64" s="48"/>
      <c r="L64" s="48"/>
      <c r="M64" s="48"/>
      <c r="N64" s="48"/>
      <c r="O64" s="48"/>
      <c r="P64" s="48"/>
      <c r="Q64" s="52"/>
    </row>
    <row r="65" spans="1:17" ht="14.25" customHeight="1" x14ac:dyDescent="0.2">
      <c r="A65" s="51"/>
      <c r="B65" s="52"/>
      <c r="C65" s="52"/>
      <c r="D65" s="52"/>
      <c r="E65" s="52"/>
      <c r="F65" s="58"/>
      <c r="G65" s="48"/>
      <c r="H65" s="48"/>
      <c r="I65" s="53"/>
      <c r="J65" s="48"/>
      <c r="K65" s="48"/>
      <c r="L65" s="48"/>
      <c r="M65" s="48"/>
      <c r="N65" s="48"/>
      <c r="O65" s="48"/>
      <c r="P65" s="48"/>
      <c r="Q65" s="52"/>
    </row>
    <row r="66" spans="1:17" ht="14.25" customHeight="1" x14ac:dyDescent="0.2">
      <c r="A66" s="51"/>
      <c r="B66" s="52"/>
      <c r="C66" s="52"/>
      <c r="D66" s="52"/>
      <c r="E66" s="52"/>
      <c r="F66" s="58"/>
      <c r="G66" s="48"/>
      <c r="H66" s="48"/>
      <c r="I66" s="53"/>
      <c r="J66" s="55"/>
      <c r="K66" s="55"/>
      <c r="L66" s="55"/>
      <c r="M66" s="48"/>
      <c r="N66" s="55"/>
      <c r="O66" s="55"/>
      <c r="P66" s="48"/>
      <c r="Q66" s="52"/>
    </row>
    <row r="67" spans="1:17" ht="14.25" customHeight="1" x14ac:dyDescent="0.2">
      <c r="A67" s="51"/>
      <c r="B67" s="52"/>
      <c r="C67" s="52"/>
      <c r="D67" s="52"/>
      <c r="E67" s="52"/>
      <c r="F67" s="58"/>
      <c r="G67" s="48"/>
      <c r="H67" s="48"/>
      <c r="I67" s="53"/>
      <c r="J67" s="55"/>
      <c r="K67" s="55"/>
      <c r="L67" s="55"/>
      <c r="M67" s="48"/>
      <c r="N67" s="55"/>
      <c r="O67" s="55"/>
      <c r="P67" s="48"/>
      <c r="Q67" s="52"/>
    </row>
    <row r="68" spans="1:17" ht="14.25" customHeight="1" x14ac:dyDescent="0.2">
      <c r="A68" s="47"/>
      <c r="B68" s="52"/>
      <c r="C68" s="52"/>
      <c r="D68" s="52"/>
      <c r="E68" s="52"/>
      <c r="F68" s="58"/>
      <c r="G68" s="48"/>
      <c r="H68" s="48"/>
      <c r="I68" s="53"/>
      <c r="J68" s="55"/>
      <c r="K68" s="55"/>
      <c r="L68" s="55"/>
      <c r="M68" s="48"/>
      <c r="N68" s="55"/>
      <c r="O68" s="55"/>
      <c r="P68" s="48"/>
      <c r="Q68" s="52"/>
    </row>
    <row r="69" spans="1:17" ht="14.25" customHeight="1" x14ac:dyDescent="0.2">
      <c r="A69" s="51"/>
      <c r="B69" s="52"/>
      <c r="C69" s="52"/>
      <c r="D69" s="52"/>
      <c r="E69" s="52"/>
      <c r="F69" s="58"/>
      <c r="G69" s="48"/>
      <c r="H69" s="48"/>
      <c r="I69" s="53"/>
      <c r="J69" s="55"/>
      <c r="K69" s="55"/>
      <c r="L69" s="55"/>
      <c r="M69" s="48"/>
      <c r="N69" s="55"/>
      <c r="O69" s="55"/>
      <c r="P69" s="48"/>
      <c r="Q69" s="52"/>
    </row>
    <row r="70" spans="1:17" ht="14.25" customHeight="1" x14ac:dyDescent="0.2">
      <c r="A70" s="51"/>
      <c r="B70" s="52"/>
      <c r="C70" s="52"/>
      <c r="D70" s="52"/>
      <c r="E70" s="52"/>
      <c r="F70" s="58"/>
      <c r="G70" s="48"/>
      <c r="H70" s="48"/>
      <c r="I70" s="53"/>
      <c r="J70" s="55"/>
      <c r="K70" s="55"/>
      <c r="L70" s="55"/>
      <c r="M70" s="48"/>
      <c r="N70" s="55"/>
      <c r="O70" s="55"/>
      <c r="P70" s="48"/>
      <c r="Q70" s="52"/>
    </row>
    <row r="71" spans="1:17" ht="14.25" customHeight="1" x14ac:dyDescent="0.2">
      <c r="A71" s="51"/>
      <c r="B71" s="52"/>
      <c r="C71" s="52"/>
      <c r="D71" s="52"/>
      <c r="E71" s="52"/>
      <c r="F71" s="58"/>
      <c r="G71" s="48"/>
      <c r="H71" s="48"/>
      <c r="I71" s="53"/>
      <c r="J71" s="55"/>
      <c r="K71" s="55"/>
      <c r="L71" s="55"/>
      <c r="M71" s="48"/>
      <c r="N71" s="55"/>
      <c r="O71" s="55"/>
      <c r="P71" s="48"/>
      <c r="Q71" s="52"/>
    </row>
    <row r="72" spans="1:17" ht="14.25" customHeight="1" x14ac:dyDescent="0.2">
      <c r="A72" s="51"/>
      <c r="B72" s="52"/>
      <c r="C72" s="52"/>
      <c r="D72" s="52"/>
      <c r="E72" s="52"/>
      <c r="F72" s="58"/>
      <c r="G72" s="48"/>
      <c r="H72" s="48"/>
      <c r="I72" s="53"/>
      <c r="J72" s="55"/>
      <c r="K72" s="55"/>
      <c r="L72" s="55"/>
      <c r="M72" s="48"/>
      <c r="N72" s="55"/>
      <c r="O72" s="55"/>
      <c r="P72" s="48"/>
      <c r="Q72" s="52"/>
    </row>
    <row r="73" spans="1:17" ht="14.25" customHeight="1" x14ac:dyDescent="0.2">
      <c r="A73" s="51"/>
      <c r="B73" s="52"/>
      <c r="C73" s="52"/>
      <c r="D73" s="52"/>
      <c r="E73" s="52"/>
      <c r="F73" s="58"/>
      <c r="G73" s="48"/>
      <c r="H73" s="48"/>
      <c r="I73" s="53"/>
      <c r="J73" s="55"/>
      <c r="K73" s="55"/>
      <c r="L73" s="55"/>
      <c r="M73" s="48"/>
      <c r="N73" s="55"/>
      <c r="O73" s="55"/>
      <c r="P73" s="48"/>
      <c r="Q73" s="52"/>
    </row>
    <row r="74" spans="1:17" ht="14.25" customHeight="1" x14ac:dyDescent="0.2">
      <c r="A74" s="51"/>
      <c r="B74" s="52"/>
      <c r="C74" s="52"/>
      <c r="D74" s="52"/>
      <c r="E74" s="52"/>
      <c r="F74" s="58"/>
      <c r="G74" s="48"/>
      <c r="H74" s="48"/>
      <c r="I74" s="53"/>
      <c r="J74" s="55"/>
      <c r="K74" s="55"/>
      <c r="L74" s="55"/>
      <c r="M74" s="48"/>
      <c r="N74" s="55"/>
      <c r="O74" s="55"/>
      <c r="P74" s="48"/>
      <c r="Q74" s="52"/>
    </row>
    <row r="75" spans="1:17" ht="14.25" customHeight="1" x14ac:dyDescent="0.2">
      <c r="A75" s="51"/>
      <c r="B75" s="52"/>
      <c r="C75" s="52"/>
      <c r="D75" s="52"/>
      <c r="E75" s="52"/>
      <c r="F75" s="58"/>
      <c r="G75" s="48"/>
      <c r="H75" s="48"/>
      <c r="I75" s="53"/>
      <c r="J75" s="55"/>
      <c r="K75" s="55"/>
      <c r="L75" s="55"/>
      <c r="M75" s="48"/>
      <c r="N75" s="55"/>
      <c r="O75" s="55"/>
      <c r="P75" s="48"/>
      <c r="Q75" s="52"/>
    </row>
    <row r="76" spans="1:17" ht="14.25" customHeight="1" x14ac:dyDescent="0.2">
      <c r="A76" s="51"/>
      <c r="B76" s="52"/>
      <c r="C76" s="52"/>
      <c r="D76" s="52"/>
      <c r="E76" s="52"/>
      <c r="F76" s="58"/>
      <c r="G76" s="48"/>
      <c r="H76" s="48"/>
      <c r="I76" s="53"/>
      <c r="J76" s="55"/>
      <c r="K76" s="55"/>
      <c r="L76" s="55"/>
      <c r="M76" s="48"/>
      <c r="N76" s="55"/>
      <c r="O76" s="55"/>
      <c r="P76" s="48"/>
      <c r="Q76" s="52"/>
    </row>
    <row r="77" spans="1:17" ht="14.25" customHeight="1" x14ac:dyDescent="0.2">
      <c r="A77" s="51"/>
      <c r="B77" s="52"/>
      <c r="C77" s="52"/>
      <c r="D77" s="52"/>
      <c r="E77" s="52"/>
      <c r="F77" s="58"/>
      <c r="G77" s="48"/>
      <c r="H77" s="48"/>
      <c r="I77" s="53"/>
      <c r="J77" s="55"/>
      <c r="K77" s="55"/>
      <c r="L77" s="55"/>
      <c r="M77" s="48"/>
      <c r="N77" s="55"/>
      <c r="O77" s="55"/>
      <c r="P77" s="48"/>
      <c r="Q77" s="52"/>
    </row>
    <row r="78" spans="1:17" ht="14.25" customHeight="1" x14ac:dyDescent="0.2">
      <c r="A78" s="51"/>
      <c r="B78" s="52"/>
      <c r="C78" s="52"/>
      <c r="D78" s="52"/>
      <c r="E78" s="52"/>
      <c r="F78" s="58"/>
      <c r="G78" s="48"/>
      <c r="H78" s="48"/>
      <c r="I78" s="53"/>
      <c r="J78" s="55"/>
      <c r="K78" s="55"/>
      <c r="L78" s="55"/>
      <c r="M78" s="48"/>
      <c r="N78" s="55"/>
      <c r="O78" s="55"/>
      <c r="P78" s="48"/>
      <c r="Q78" s="52"/>
    </row>
    <row r="79" spans="1:17" ht="14.25" customHeight="1" x14ac:dyDescent="0.2">
      <c r="A79" s="51"/>
      <c r="B79" s="52"/>
      <c r="C79" s="52"/>
      <c r="D79" s="52"/>
      <c r="E79" s="52"/>
      <c r="F79" s="58"/>
      <c r="G79" s="48"/>
      <c r="H79" s="48"/>
      <c r="I79" s="53"/>
      <c r="J79" s="55"/>
      <c r="K79" s="55"/>
      <c r="L79" s="55"/>
      <c r="M79" s="48"/>
      <c r="N79" s="55"/>
      <c r="O79" s="55"/>
      <c r="P79" s="48"/>
      <c r="Q79" s="52"/>
    </row>
    <row r="80" spans="1:17" ht="14.25" customHeight="1" x14ac:dyDescent="0.2">
      <c r="A80" s="51"/>
      <c r="B80" s="52"/>
      <c r="C80" s="52"/>
      <c r="D80" s="52"/>
      <c r="E80" s="52"/>
      <c r="F80" s="58"/>
      <c r="G80" s="48"/>
      <c r="H80" s="48"/>
      <c r="I80" s="53"/>
      <c r="J80" s="55"/>
      <c r="K80" s="55"/>
      <c r="L80" s="55"/>
      <c r="M80" s="48"/>
      <c r="N80" s="55"/>
      <c r="O80" s="55"/>
      <c r="P80" s="48"/>
      <c r="Q80" s="52"/>
    </row>
    <row r="81" spans="1:17" ht="14.25" customHeight="1" x14ac:dyDescent="0.2">
      <c r="A81" s="51"/>
      <c r="B81" s="52"/>
      <c r="C81" s="52"/>
      <c r="D81" s="52"/>
      <c r="E81" s="52"/>
      <c r="F81" s="58"/>
      <c r="G81" s="48"/>
      <c r="H81" s="48"/>
      <c r="I81" s="53"/>
      <c r="J81" s="48"/>
      <c r="K81" s="48"/>
      <c r="L81" s="48"/>
      <c r="M81" s="48"/>
      <c r="N81" s="48"/>
      <c r="O81" s="48"/>
      <c r="P81" s="48"/>
      <c r="Q81" s="52"/>
    </row>
    <row r="82" spans="1:17" ht="14.25" customHeight="1" x14ac:dyDescent="0.2">
      <c r="A82" s="51"/>
      <c r="B82" s="52"/>
      <c r="C82" s="52"/>
      <c r="D82" s="52"/>
      <c r="E82" s="52"/>
      <c r="F82" s="58"/>
      <c r="G82" s="48"/>
      <c r="H82" s="48"/>
      <c r="I82" s="53"/>
      <c r="J82" s="55"/>
      <c r="K82" s="55"/>
      <c r="L82" s="55"/>
      <c r="M82" s="48"/>
      <c r="N82" s="55"/>
      <c r="O82" s="55"/>
      <c r="P82" s="48"/>
      <c r="Q82" s="52"/>
    </row>
    <row r="83" spans="1:17" ht="14.25" customHeight="1" x14ac:dyDescent="0.2">
      <c r="A83" s="51"/>
      <c r="B83" s="52"/>
      <c r="C83" s="52"/>
      <c r="D83" s="52"/>
      <c r="E83" s="52"/>
      <c r="F83" s="58"/>
      <c r="G83" s="48"/>
      <c r="H83" s="48"/>
      <c r="I83" s="53"/>
      <c r="J83" s="55"/>
      <c r="K83" s="55"/>
      <c r="L83" s="55"/>
      <c r="M83" s="48"/>
      <c r="N83" s="55"/>
      <c r="O83" s="55"/>
      <c r="P83" s="48"/>
      <c r="Q83" s="52"/>
    </row>
    <row r="84" spans="1:17" ht="14.25" customHeight="1" x14ac:dyDescent="0.2">
      <c r="A84" s="51"/>
      <c r="B84" s="52"/>
      <c r="C84" s="52"/>
      <c r="D84" s="52"/>
      <c r="E84" s="52"/>
      <c r="F84" s="58"/>
      <c r="G84" s="48"/>
      <c r="H84" s="48"/>
      <c r="I84" s="53"/>
      <c r="J84" s="55"/>
      <c r="K84" s="55"/>
      <c r="L84" s="55"/>
      <c r="M84" s="48"/>
      <c r="N84" s="55"/>
      <c r="O84" s="55"/>
      <c r="P84" s="48"/>
      <c r="Q84" s="52"/>
    </row>
    <row r="85" spans="1:17" ht="14.25" customHeight="1" x14ac:dyDescent="0.2">
      <c r="A85" s="51"/>
      <c r="B85" s="52"/>
      <c r="C85" s="52"/>
      <c r="D85" s="52"/>
      <c r="E85" s="52"/>
      <c r="F85" s="58"/>
      <c r="G85" s="48"/>
      <c r="H85" s="48"/>
      <c r="I85" s="53"/>
      <c r="J85" s="55"/>
      <c r="K85" s="55"/>
      <c r="L85" s="55"/>
      <c r="M85" s="48"/>
      <c r="N85" s="55"/>
      <c r="O85" s="55"/>
      <c r="P85" s="48"/>
      <c r="Q85" s="52"/>
    </row>
    <row r="86" spans="1:17" ht="14.25" customHeight="1" x14ac:dyDescent="0.2">
      <c r="A86" s="51"/>
      <c r="B86" s="52"/>
      <c r="C86" s="52"/>
      <c r="D86" s="52"/>
      <c r="E86" s="52"/>
      <c r="F86" s="58"/>
      <c r="G86" s="48"/>
      <c r="H86" s="48"/>
      <c r="I86" s="66"/>
      <c r="J86" s="55"/>
      <c r="K86" s="55"/>
      <c r="L86" s="55"/>
      <c r="M86" s="48"/>
      <c r="N86" s="55"/>
      <c r="O86" s="55"/>
      <c r="P86" s="48"/>
      <c r="Q86" s="52"/>
    </row>
  </sheetData>
  <mergeCells count="1">
    <mergeCell ref="B1:M2"/>
  </mergeCells>
  <conditionalFormatting sqref="I3:I4 I6:I18 I27:I85">
    <cfRule type="cellIs" dxfId="0" priority="1" stopIfTrue="1" operator="lessThan">
      <formula>0</formula>
    </cfRule>
  </conditionalFormatting>
  <pageMargins left="0.73" right="0.02" top="0.03" bottom="0.41" header="0.01" footer="0.35"/>
  <pageSetup scale="72" orientation="landscape" r:id="rId1"/>
  <headerFooter alignWithMargins="0">
    <oddFooter>&amp;L&amp;A&amp;C&amp;P of &amp;N&amp;Rlast printed on &amp;D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Q47"/>
  <sheetViews>
    <sheetView topLeftCell="CC1" zoomScale="80" zoomScaleNormal="80" workbookViewId="0">
      <selection activeCell="CU17" sqref="CU17"/>
    </sheetView>
  </sheetViews>
  <sheetFormatPr defaultColWidth="15.7109375" defaultRowHeight="12.75" x14ac:dyDescent="0.2"/>
  <cols>
    <col min="1" max="1" width="44.140625" bestFit="1" customWidth="1"/>
    <col min="2" max="2" width="15.7109375" customWidth="1"/>
    <col min="3" max="3" width="15.7109375" style="31" customWidth="1"/>
    <col min="4" max="7" width="15.7109375" customWidth="1"/>
    <col min="8" max="8" width="15.7109375" style="31" customWidth="1"/>
    <col min="9" max="10" width="15.7109375" customWidth="1"/>
  </cols>
  <sheetData>
    <row r="1" spans="1:95" ht="18" x14ac:dyDescent="0.25">
      <c r="A1" s="32" t="s">
        <v>32</v>
      </c>
      <c r="B1" s="154" t="s">
        <v>900</v>
      </c>
      <c r="C1"/>
      <c r="F1" s="31"/>
      <c r="H1"/>
    </row>
    <row r="2" spans="1:95" x14ac:dyDescent="0.2">
      <c r="C2"/>
      <c r="F2" s="31"/>
      <c r="H2"/>
    </row>
    <row r="3" spans="1:95" s="6" customFormat="1" ht="18" x14ac:dyDescent="0.25">
      <c r="A3" s="35" t="s">
        <v>33</v>
      </c>
      <c r="B3" s="34">
        <v>40926</v>
      </c>
      <c r="C3" s="34">
        <v>40948</v>
      </c>
      <c r="D3" s="34">
        <v>41003</v>
      </c>
      <c r="E3" s="34">
        <v>41036</v>
      </c>
      <c r="F3" s="34">
        <v>41065</v>
      </c>
      <c r="G3" s="34">
        <v>41102</v>
      </c>
      <c r="H3" s="34">
        <v>41130</v>
      </c>
      <c r="I3" s="34">
        <v>41298</v>
      </c>
      <c r="J3" s="34">
        <v>41319</v>
      </c>
      <c r="K3" s="34">
        <v>41324</v>
      </c>
      <c r="L3" s="34">
        <v>41326</v>
      </c>
      <c r="M3" s="34">
        <v>41331</v>
      </c>
      <c r="N3" s="34">
        <v>41338</v>
      </c>
      <c r="O3" s="34">
        <v>41340</v>
      </c>
      <c r="P3" s="34">
        <v>41341</v>
      </c>
      <c r="Q3" s="34">
        <v>41345</v>
      </c>
      <c r="R3" s="34">
        <v>41346</v>
      </c>
      <c r="S3" s="34">
        <v>41351</v>
      </c>
      <c r="T3" s="34">
        <v>41357</v>
      </c>
      <c r="U3" s="34">
        <v>41362</v>
      </c>
      <c r="V3" s="34">
        <v>41365</v>
      </c>
      <c r="W3" s="34">
        <v>41368</v>
      </c>
      <c r="X3" s="34">
        <v>41373</v>
      </c>
      <c r="Y3" s="34">
        <v>41379</v>
      </c>
      <c r="Z3" s="34">
        <v>41392</v>
      </c>
      <c r="AA3" s="34">
        <v>41392</v>
      </c>
      <c r="AB3" s="34">
        <v>41392</v>
      </c>
      <c r="AC3" s="34">
        <v>41400</v>
      </c>
      <c r="AD3" s="34">
        <v>41407</v>
      </c>
      <c r="AE3" s="34">
        <v>41414</v>
      </c>
      <c r="AF3" s="34">
        <v>41424</v>
      </c>
      <c r="AG3" s="34">
        <v>41431</v>
      </c>
      <c r="AH3" s="34">
        <v>41438</v>
      </c>
      <c r="AI3" s="34">
        <v>41445</v>
      </c>
      <c r="AJ3" s="34">
        <v>41452</v>
      </c>
      <c r="AK3" s="34">
        <v>41466</v>
      </c>
      <c r="AL3" s="34">
        <v>41473</v>
      </c>
      <c r="AM3" s="34">
        <v>41480</v>
      </c>
      <c r="AN3" s="34">
        <v>41487</v>
      </c>
      <c r="AO3" s="34">
        <v>41494</v>
      </c>
      <c r="AP3" s="34">
        <v>41501</v>
      </c>
      <c r="AQ3" s="34">
        <v>41508</v>
      </c>
      <c r="AR3" s="34">
        <v>41515</v>
      </c>
      <c r="AS3" s="34">
        <v>41522</v>
      </c>
      <c r="AT3" s="34">
        <v>41529</v>
      </c>
      <c r="AU3" s="34">
        <v>41536</v>
      </c>
      <c r="AV3" s="34">
        <v>41543</v>
      </c>
      <c r="AW3" s="34">
        <v>41550</v>
      </c>
      <c r="AX3" s="34">
        <v>41557</v>
      </c>
      <c r="AY3" s="34">
        <v>41564</v>
      </c>
      <c r="AZ3" s="34">
        <v>41571</v>
      </c>
      <c r="BA3" s="34">
        <v>41578</v>
      </c>
      <c r="BB3" s="34">
        <v>41585</v>
      </c>
      <c r="BC3" s="34">
        <v>41592</v>
      </c>
      <c r="BD3" s="34">
        <v>41599</v>
      </c>
      <c r="BE3" s="34">
        <v>41605</v>
      </c>
      <c r="BF3" s="34">
        <v>41613</v>
      </c>
      <c r="BG3" s="34">
        <v>41620</v>
      </c>
      <c r="BH3" s="34">
        <v>41627</v>
      </c>
      <c r="BI3" s="34">
        <v>41638</v>
      </c>
      <c r="BJ3" s="34">
        <v>41648</v>
      </c>
      <c r="BK3" s="34">
        <v>41655</v>
      </c>
      <c r="BL3" s="34">
        <v>41662</v>
      </c>
      <c r="BM3" s="34">
        <v>41669</v>
      </c>
      <c r="BN3" s="34">
        <v>41676</v>
      </c>
      <c r="BO3" s="34">
        <v>41683</v>
      </c>
      <c r="BP3" s="34">
        <v>41690</v>
      </c>
      <c r="BQ3" s="34">
        <v>41697</v>
      </c>
      <c r="BR3" s="34">
        <v>41704</v>
      </c>
      <c r="BS3" s="34">
        <v>41711</v>
      </c>
      <c r="BT3" s="34">
        <v>41718</v>
      </c>
      <c r="BU3" s="34">
        <v>41725</v>
      </c>
      <c r="BV3" s="34">
        <v>41732</v>
      </c>
      <c r="BW3" s="34">
        <v>41739</v>
      </c>
      <c r="BX3" s="34">
        <v>41746</v>
      </c>
      <c r="BY3" s="34">
        <v>41753</v>
      </c>
      <c r="BZ3" s="34">
        <v>41760</v>
      </c>
      <c r="CA3" s="34">
        <v>41767</v>
      </c>
      <c r="CB3" s="34">
        <v>41774</v>
      </c>
      <c r="CC3" s="34">
        <v>41781</v>
      </c>
      <c r="CD3" s="34">
        <v>41788</v>
      </c>
      <c r="CE3" s="34">
        <v>41795</v>
      </c>
      <c r="CF3" s="34">
        <v>41802</v>
      </c>
      <c r="CG3" s="34">
        <v>41809</v>
      </c>
      <c r="CH3" s="34">
        <v>41872</v>
      </c>
      <c r="CI3" s="34">
        <v>41893</v>
      </c>
      <c r="CJ3" s="34">
        <v>41897</v>
      </c>
      <c r="CK3" s="34">
        <v>41904</v>
      </c>
      <c r="CL3" s="34">
        <v>41907</v>
      </c>
      <c r="CM3" s="34">
        <v>41910</v>
      </c>
      <c r="CN3" s="34">
        <v>41917</v>
      </c>
      <c r="CO3" s="34">
        <v>41924</v>
      </c>
      <c r="CP3" s="34">
        <v>41932</v>
      </c>
      <c r="CQ3" s="34">
        <v>41939</v>
      </c>
    </row>
    <row r="4" spans="1:95" ht="15" x14ac:dyDescent="0.2">
      <c r="A4" s="37" t="s">
        <v>34</v>
      </c>
      <c r="B4" s="38">
        <v>79</v>
      </c>
      <c r="C4" s="38">
        <v>79</v>
      </c>
      <c r="D4" s="38">
        <v>79</v>
      </c>
      <c r="E4" s="38">
        <v>63</v>
      </c>
      <c r="F4" s="38">
        <v>59</v>
      </c>
      <c r="G4" s="38">
        <v>66</v>
      </c>
      <c r="H4" s="38">
        <v>72</v>
      </c>
      <c r="I4" s="38">
        <v>91</v>
      </c>
      <c r="J4" s="38">
        <v>90</v>
      </c>
      <c r="K4" s="38">
        <v>90</v>
      </c>
      <c r="L4" s="38">
        <v>90</v>
      </c>
      <c r="M4" s="38">
        <v>87</v>
      </c>
      <c r="N4" s="38">
        <v>84</v>
      </c>
      <c r="O4" s="38">
        <v>84</v>
      </c>
      <c r="P4" s="38">
        <v>83</v>
      </c>
      <c r="Q4" s="38">
        <v>83</v>
      </c>
      <c r="R4" s="38">
        <v>84</v>
      </c>
      <c r="S4" s="38">
        <v>84</v>
      </c>
      <c r="T4" s="38">
        <v>87</v>
      </c>
      <c r="U4" s="38">
        <v>79</v>
      </c>
      <c r="V4" s="38">
        <v>73</v>
      </c>
      <c r="W4" s="38">
        <v>76</v>
      </c>
      <c r="X4" s="38">
        <v>79</v>
      </c>
      <c r="Y4" s="38">
        <v>84</v>
      </c>
      <c r="Z4" s="38">
        <v>79</v>
      </c>
      <c r="AA4" s="38">
        <v>75</v>
      </c>
      <c r="AB4" s="38">
        <v>74</v>
      </c>
      <c r="AC4" s="38">
        <v>79</v>
      </c>
      <c r="AD4" s="38">
        <v>80</v>
      </c>
      <c r="AE4" s="38">
        <v>86</v>
      </c>
      <c r="AF4" s="38">
        <v>89</v>
      </c>
      <c r="AG4" s="38">
        <v>95</v>
      </c>
      <c r="AH4" s="38">
        <v>97</v>
      </c>
      <c r="AI4" s="38">
        <v>104</v>
      </c>
      <c r="AJ4" s="38">
        <v>107</v>
      </c>
      <c r="AK4" s="38">
        <v>110</v>
      </c>
      <c r="AL4" s="38">
        <v>117</v>
      </c>
      <c r="AM4" s="38">
        <v>122</v>
      </c>
      <c r="AN4" s="38">
        <v>125</v>
      </c>
      <c r="AO4" s="38">
        <v>125</v>
      </c>
      <c r="AP4" s="38">
        <v>124</v>
      </c>
      <c r="AQ4" s="38">
        <v>119</v>
      </c>
      <c r="AR4" s="38">
        <v>123</v>
      </c>
      <c r="AS4" s="38">
        <v>118</v>
      </c>
      <c r="AT4" s="38">
        <v>120</v>
      </c>
      <c r="AU4" s="38">
        <v>122</v>
      </c>
      <c r="AV4" s="38">
        <v>113</v>
      </c>
      <c r="AW4" s="38">
        <v>113</v>
      </c>
      <c r="AX4" s="38">
        <v>113</v>
      </c>
      <c r="AY4" s="38">
        <v>109</v>
      </c>
      <c r="AZ4" s="38">
        <v>112</v>
      </c>
      <c r="BA4" s="38">
        <v>114</v>
      </c>
      <c r="BB4" s="38">
        <v>112</v>
      </c>
      <c r="BC4" s="38">
        <v>121</v>
      </c>
      <c r="BD4" s="38">
        <v>125</v>
      </c>
      <c r="BE4" s="38">
        <v>131</v>
      </c>
      <c r="BF4" s="38">
        <v>134</v>
      </c>
      <c r="BG4" s="38">
        <v>137</v>
      </c>
      <c r="BH4" s="38">
        <v>131</v>
      </c>
      <c r="BI4" s="38">
        <v>130</v>
      </c>
      <c r="BJ4" s="38">
        <v>135</v>
      </c>
      <c r="BK4" s="38">
        <v>135</v>
      </c>
      <c r="BL4" s="38">
        <v>133</v>
      </c>
      <c r="BM4" s="38">
        <v>139</v>
      </c>
      <c r="BN4" s="38">
        <v>132</v>
      </c>
      <c r="BO4" s="38">
        <v>135</v>
      </c>
      <c r="BP4" s="38">
        <v>132</v>
      </c>
      <c r="BQ4" s="38">
        <v>133</v>
      </c>
      <c r="BR4" s="38">
        <v>136</v>
      </c>
      <c r="BS4" s="38">
        <v>139</v>
      </c>
      <c r="BT4" s="38">
        <v>136</v>
      </c>
      <c r="BU4" s="38">
        <v>137</v>
      </c>
      <c r="BV4" s="38">
        <v>141</v>
      </c>
      <c r="BW4" s="38">
        <v>146</v>
      </c>
      <c r="BX4" s="38">
        <v>150</v>
      </c>
      <c r="BY4" s="38">
        <v>148</v>
      </c>
      <c r="BZ4" s="38">
        <v>147</v>
      </c>
      <c r="CA4" s="38">
        <v>144</v>
      </c>
      <c r="CB4" s="38">
        <v>142</v>
      </c>
      <c r="CC4" s="38">
        <v>134</v>
      </c>
      <c r="CD4" s="38">
        <v>136</v>
      </c>
      <c r="CE4" s="38">
        <v>141</v>
      </c>
      <c r="CF4" s="38">
        <v>143</v>
      </c>
      <c r="CG4" s="38">
        <v>143</v>
      </c>
      <c r="CH4" s="38">
        <v>160</v>
      </c>
      <c r="CI4" s="38">
        <v>166</v>
      </c>
      <c r="CJ4" s="38">
        <v>148</v>
      </c>
      <c r="CK4" s="38">
        <v>149</v>
      </c>
      <c r="CL4" s="38">
        <v>150</v>
      </c>
      <c r="CM4" s="38">
        <v>153</v>
      </c>
      <c r="CN4" s="38">
        <v>150</v>
      </c>
      <c r="CO4" s="38">
        <v>149</v>
      </c>
      <c r="CP4" s="38">
        <v>140</v>
      </c>
      <c r="CQ4" s="38">
        <v>135</v>
      </c>
    </row>
    <row r="5" spans="1:95" ht="15" x14ac:dyDescent="0.2">
      <c r="A5" s="37" t="s">
        <v>36</v>
      </c>
      <c r="B5" s="38">
        <v>49</v>
      </c>
      <c r="C5" s="38">
        <v>57</v>
      </c>
      <c r="D5" s="38">
        <v>56</v>
      </c>
      <c r="E5" s="38">
        <v>42</v>
      </c>
      <c r="F5" s="38">
        <v>31</v>
      </c>
      <c r="G5" s="38">
        <v>29</v>
      </c>
      <c r="H5" s="38">
        <v>38</v>
      </c>
      <c r="I5" s="38">
        <v>75</v>
      </c>
      <c r="J5" s="38">
        <v>83</v>
      </c>
      <c r="K5" s="38">
        <v>83</v>
      </c>
      <c r="L5" s="38">
        <v>79</v>
      </c>
      <c r="M5" s="38">
        <v>76</v>
      </c>
      <c r="N5" s="38">
        <v>75</v>
      </c>
      <c r="O5" s="38">
        <v>52</v>
      </c>
      <c r="P5" s="38">
        <v>51</v>
      </c>
      <c r="Q5" s="38">
        <v>51</v>
      </c>
      <c r="R5" s="38">
        <v>51</v>
      </c>
      <c r="S5" s="38">
        <v>54</v>
      </c>
      <c r="T5" s="38">
        <v>51</v>
      </c>
      <c r="U5" s="38">
        <v>41</v>
      </c>
      <c r="V5" s="38">
        <v>29</v>
      </c>
      <c r="W5" s="38">
        <v>22</v>
      </c>
      <c r="X5" s="38">
        <v>22</v>
      </c>
      <c r="Y5" s="38">
        <v>22</v>
      </c>
      <c r="Z5" s="38">
        <v>32</v>
      </c>
      <c r="AA5" s="38">
        <v>28</v>
      </c>
      <c r="AB5" s="38">
        <v>27</v>
      </c>
      <c r="AC5" s="38">
        <v>30</v>
      </c>
      <c r="AD5" s="38">
        <v>33</v>
      </c>
      <c r="AE5" s="38">
        <v>36</v>
      </c>
      <c r="AF5" s="38">
        <v>32</v>
      </c>
      <c r="AG5" s="38">
        <v>38</v>
      </c>
      <c r="AH5" s="38">
        <v>37</v>
      </c>
      <c r="AI5" s="38">
        <v>38</v>
      </c>
      <c r="AJ5" s="38">
        <v>39</v>
      </c>
      <c r="AK5" s="38">
        <v>36</v>
      </c>
      <c r="AL5" s="38">
        <v>43</v>
      </c>
      <c r="AM5" s="38">
        <v>46</v>
      </c>
      <c r="AN5" s="38">
        <v>41</v>
      </c>
      <c r="AO5" s="38">
        <v>52</v>
      </c>
      <c r="AP5" s="38">
        <v>53</v>
      </c>
      <c r="AQ5" s="38">
        <v>59</v>
      </c>
      <c r="AR5" s="38">
        <v>59</v>
      </c>
      <c r="AS5" s="38">
        <v>68</v>
      </c>
      <c r="AT5" s="38">
        <v>83</v>
      </c>
      <c r="AU5" s="38">
        <v>87</v>
      </c>
      <c r="AV5" s="38">
        <v>72</v>
      </c>
      <c r="AW5" s="38">
        <v>72</v>
      </c>
      <c r="AX5" s="38">
        <v>70</v>
      </c>
      <c r="AY5" s="38">
        <v>66</v>
      </c>
      <c r="AZ5" s="38">
        <v>69</v>
      </c>
      <c r="BA5" s="38">
        <v>67</v>
      </c>
      <c r="BB5" s="38">
        <v>63</v>
      </c>
      <c r="BC5" s="38">
        <v>66</v>
      </c>
      <c r="BD5" s="38">
        <v>68</v>
      </c>
      <c r="BE5" s="38">
        <v>70</v>
      </c>
      <c r="BF5" s="38">
        <v>72</v>
      </c>
      <c r="BG5" s="38">
        <v>79</v>
      </c>
      <c r="BH5" s="38">
        <v>79</v>
      </c>
      <c r="BI5" s="38">
        <v>77</v>
      </c>
      <c r="BJ5" s="38">
        <v>79</v>
      </c>
      <c r="BK5" s="38">
        <v>82</v>
      </c>
      <c r="BL5" s="38">
        <v>80</v>
      </c>
      <c r="BM5" s="38">
        <v>83</v>
      </c>
      <c r="BN5" s="38">
        <v>77</v>
      </c>
      <c r="BO5" s="38">
        <v>79</v>
      </c>
      <c r="BP5" s="38">
        <v>76</v>
      </c>
      <c r="BQ5" s="38">
        <v>77</v>
      </c>
      <c r="BR5" s="38">
        <v>82</v>
      </c>
      <c r="BS5" s="38">
        <v>83</v>
      </c>
      <c r="BT5" s="38">
        <v>82</v>
      </c>
      <c r="BU5" s="38">
        <v>80</v>
      </c>
      <c r="BV5" s="38">
        <v>84</v>
      </c>
      <c r="BW5" s="38">
        <v>87</v>
      </c>
      <c r="BX5" s="38">
        <v>93</v>
      </c>
      <c r="BY5" s="38">
        <v>89</v>
      </c>
      <c r="BZ5" s="38">
        <v>85</v>
      </c>
      <c r="CA5" s="38">
        <v>86</v>
      </c>
      <c r="CB5" s="38">
        <v>85</v>
      </c>
      <c r="CC5" s="38">
        <v>74</v>
      </c>
      <c r="CD5" s="38">
        <v>75</v>
      </c>
      <c r="CE5" s="38">
        <v>83</v>
      </c>
      <c r="CF5" s="38">
        <v>86</v>
      </c>
      <c r="CG5" s="38">
        <v>89</v>
      </c>
      <c r="CH5" s="38">
        <v>129</v>
      </c>
      <c r="CI5" s="38">
        <v>133</v>
      </c>
      <c r="CJ5" s="38">
        <v>117</v>
      </c>
      <c r="CK5" s="38">
        <v>119</v>
      </c>
      <c r="CL5" s="38">
        <v>119</v>
      </c>
      <c r="CM5" s="38">
        <v>119</v>
      </c>
      <c r="CN5" s="38">
        <v>116</v>
      </c>
      <c r="CO5" s="38">
        <v>112</v>
      </c>
      <c r="CP5" s="38">
        <v>98</v>
      </c>
      <c r="CQ5" s="38">
        <v>92</v>
      </c>
    </row>
    <row r="6" spans="1:95" ht="15" x14ac:dyDescent="0.2">
      <c r="A6" s="37" t="s">
        <v>35</v>
      </c>
      <c r="B6" s="38">
        <f t="shared" ref="B6:AQ6" si="0">B4-B5</f>
        <v>30</v>
      </c>
      <c r="C6" s="38">
        <f t="shared" si="0"/>
        <v>22</v>
      </c>
      <c r="D6" s="38">
        <f t="shared" si="0"/>
        <v>23</v>
      </c>
      <c r="E6" s="38">
        <f t="shared" si="0"/>
        <v>21</v>
      </c>
      <c r="F6" s="38">
        <f t="shared" si="0"/>
        <v>28</v>
      </c>
      <c r="G6" s="38">
        <f t="shared" si="0"/>
        <v>37</v>
      </c>
      <c r="H6" s="38">
        <f t="shared" si="0"/>
        <v>34</v>
      </c>
      <c r="I6" s="38">
        <f t="shared" si="0"/>
        <v>16</v>
      </c>
      <c r="J6" s="38">
        <f t="shared" si="0"/>
        <v>7</v>
      </c>
      <c r="K6" s="38">
        <f t="shared" si="0"/>
        <v>7</v>
      </c>
      <c r="L6" s="38">
        <f t="shared" si="0"/>
        <v>11</v>
      </c>
      <c r="M6" s="38">
        <f t="shared" si="0"/>
        <v>11</v>
      </c>
      <c r="N6" s="38">
        <f t="shared" si="0"/>
        <v>9</v>
      </c>
      <c r="O6" s="38">
        <f t="shared" si="0"/>
        <v>32</v>
      </c>
      <c r="P6" s="38">
        <f t="shared" si="0"/>
        <v>32</v>
      </c>
      <c r="Q6" s="38">
        <f t="shared" si="0"/>
        <v>32</v>
      </c>
      <c r="R6" s="38">
        <f t="shared" si="0"/>
        <v>33</v>
      </c>
      <c r="S6" s="38">
        <f t="shared" si="0"/>
        <v>30</v>
      </c>
      <c r="T6" s="38">
        <f t="shared" si="0"/>
        <v>36</v>
      </c>
      <c r="U6" s="38">
        <f t="shared" si="0"/>
        <v>38</v>
      </c>
      <c r="V6" s="38">
        <f t="shared" si="0"/>
        <v>44</v>
      </c>
      <c r="W6" s="38">
        <f t="shared" si="0"/>
        <v>54</v>
      </c>
      <c r="X6" s="38">
        <f t="shared" si="0"/>
        <v>57</v>
      </c>
      <c r="Y6" s="38">
        <f t="shared" si="0"/>
        <v>62</v>
      </c>
      <c r="Z6" s="38">
        <f t="shared" si="0"/>
        <v>47</v>
      </c>
      <c r="AA6" s="38">
        <f t="shared" si="0"/>
        <v>47</v>
      </c>
      <c r="AB6" s="38">
        <f t="shared" si="0"/>
        <v>47</v>
      </c>
      <c r="AC6" s="38">
        <f t="shared" si="0"/>
        <v>49</v>
      </c>
      <c r="AD6" s="38">
        <f t="shared" si="0"/>
        <v>47</v>
      </c>
      <c r="AE6" s="38">
        <f t="shared" si="0"/>
        <v>50</v>
      </c>
      <c r="AF6" s="38">
        <f t="shared" si="0"/>
        <v>57</v>
      </c>
      <c r="AG6" s="38">
        <f t="shared" si="0"/>
        <v>57</v>
      </c>
      <c r="AH6" s="38">
        <f t="shared" si="0"/>
        <v>60</v>
      </c>
      <c r="AI6" s="38">
        <f t="shared" si="0"/>
        <v>66</v>
      </c>
      <c r="AJ6" s="38">
        <f t="shared" si="0"/>
        <v>68</v>
      </c>
      <c r="AK6" s="38">
        <f t="shared" si="0"/>
        <v>74</v>
      </c>
      <c r="AL6" s="38">
        <f t="shared" si="0"/>
        <v>74</v>
      </c>
      <c r="AM6" s="38">
        <f t="shared" si="0"/>
        <v>76</v>
      </c>
      <c r="AN6" s="38">
        <f t="shared" si="0"/>
        <v>84</v>
      </c>
      <c r="AO6" s="38">
        <f t="shared" si="0"/>
        <v>73</v>
      </c>
      <c r="AP6" s="38">
        <f t="shared" si="0"/>
        <v>71</v>
      </c>
      <c r="AQ6" s="38">
        <f t="shared" si="0"/>
        <v>60</v>
      </c>
      <c r="AR6" s="38">
        <f t="shared" ref="AR6:AS6" si="1">AR4-AR5</f>
        <v>64</v>
      </c>
      <c r="AS6" s="38">
        <f t="shared" si="1"/>
        <v>50</v>
      </c>
      <c r="AT6" s="38">
        <f t="shared" ref="AT6:AU6" si="2">AT4-AT5</f>
        <v>37</v>
      </c>
      <c r="AU6" s="38">
        <f t="shared" si="2"/>
        <v>35</v>
      </c>
      <c r="AV6" s="38">
        <f t="shared" ref="AV6:AW6" si="3">AV4-AV5</f>
        <v>41</v>
      </c>
      <c r="AW6" s="38">
        <f t="shared" si="3"/>
        <v>41</v>
      </c>
      <c r="AX6" s="38">
        <f t="shared" ref="AX6:AY6" si="4">AX4-AX5</f>
        <v>43</v>
      </c>
      <c r="AY6" s="38">
        <f t="shared" si="4"/>
        <v>43</v>
      </c>
      <c r="AZ6" s="38">
        <f t="shared" ref="AZ6:BA6" si="5">AZ4-AZ5</f>
        <v>43</v>
      </c>
      <c r="BA6" s="38">
        <f t="shared" si="5"/>
        <v>47</v>
      </c>
      <c r="BB6" s="38">
        <f t="shared" ref="BB6:BC6" si="6">BB4-BB5</f>
        <v>49</v>
      </c>
      <c r="BC6" s="38">
        <f t="shared" si="6"/>
        <v>55</v>
      </c>
      <c r="BD6" s="38">
        <f t="shared" ref="BD6:BE6" si="7">BD4-BD5</f>
        <v>57</v>
      </c>
      <c r="BE6" s="38">
        <f t="shared" si="7"/>
        <v>61</v>
      </c>
      <c r="BF6" s="38">
        <f t="shared" ref="BF6:BG6" si="8">BF4-BF5</f>
        <v>62</v>
      </c>
      <c r="BG6" s="38">
        <f t="shared" si="8"/>
        <v>58</v>
      </c>
      <c r="BH6" s="38">
        <f t="shared" ref="BH6:BI6" si="9">BH4-BH5</f>
        <v>52</v>
      </c>
      <c r="BI6" s="38">
        <f t="shared" si="9"/>
        <v>53</v>
      </c>
      <c r="BJ6" s="38">
        <f t="shared" ref="BJ6:BK6" si="10">BJ4-BJ5</f>
        <v>56</v>
      </c>
      <c r="BK6" s="38">
        <f t="shared" si="10"/>
        <v>53</v>
      </c>
      <c r="BL6" s="38">
        <f t="shared" ref="BL6:BM6" si="11">BL4-BL5</f>
        <v>53</v>
      </c>
      <c r="BM6" s="38">
        <f t="shared" si="11"/>
        <v>56</v>
      </c>
      <c r="BN6" s="38">
        <f t="shared" ref="BN6:BO6" si="12">BN4-BN5</f>
        <v>55</v>
      </c>
      <c r="BO6" s="38">
        <f t="shared" si="12"/>
        <v>56</v>
      </c>
      <c r="BP6" s="38">
        <f t="shared" ref="BP6:BQ6" si="13">BP4-BP5</f>
        <v>56</v>
      </c>
      <c r="BQ6" s="38">
        <f t="shared" si="13"/>
        <v>56</v>
      </c>
      <c r="BR6" s="38">
        <f t="shared" ref="BR6:BS6" si="14">BR4-BR5</f>
        <v>54</v>
      </c>
      <c r="BS6" s="38">
        <f t="shared" si="14"/>
        <v>56</v>
      </c>
      <c r="BT6" s="38">
        <f t="shared" ref="BT6:BU6" si="15">BT4-BT5</f>
        <v>54</v>
      </c>
      <c r="BU6" s="38">
        <f t="shared" si="15"/>
        <v>57</v>
      </c>
      <c r="BV6" s="38">
        <f t="shared" ref="BV6:BW6" si="16">BV4-BV5</f>
        <v>57</v>
      </c>
      <c r="BW6" s="38">
        <f t="shared" si="16"/>
        <v>59</v>
      </c>
      <c r="BX6" s="38">
        <f t="shared" ref="BX6:BY6" si="17">BX4-BX5</f>
        <v>57</v>
      </c>
      <c r="BY6" s="38">
        <f t="shared" si="17"/>
        <v>59</v>
      </c>
      <c r="BZ6" s="38">
        <f t="shared" ref="BZ6:CA6" si="18">BZ4-BZ5</f>
        <v>62</v>
      </c>
      <c r="CA6" s="38">
        <f t="shared" si="18"/>
        <v>58</v>
      </c>
      <c r="CB6" s="38">
        <f t="shared" ref="CB6:CC6" si="19">CB4-CB5</f>
        <v>57</v>
      </c>
      <c r="CC6" s="38">
        <f t="shared" si="19"/>
        <v>60</v>
      </c>
      <c r="CD6" s="38">
        <f t="shared" ref="CD6:CE6" si="20">CD4-CD5</f>
        <v>61</v>
      </c>
      <c r="CE6" s="38">
        <f t="shared" si="20"/>
        <v>58</v>
      </c>
      <c r="CF6" s="38">
        <f t="shared" ref="CF6:CG6" si="21">CF4-CF5</f>
        <v>57</v>
      </c>
      <c r="CG6" s="38">
        <f t="shared" si="21"/>
        <v>54</v>
      </c>
      <c r="CH6" s="38">
        <f t="shared" ref="CH6:CI6" si="22">CH4-CH5</f>
        <v>31</v>
      </c>
      <c r="CI6" s="38">
        <f t="shared" si="22"/>
        <v>33</v>
      </c>
      <c r="CJ6" s="38">
        <f t="shared" ref="CJ6:CK6" si="23">CJ4-CJ5</f>
        <v>31</v>
      </c>
      <c r="CK6" s="38">
        <f t="shared" si="23"/>
        <v>30</v>
      </c>
      <c r="CL6" s="38">
        <f t="shared" ref="CL6:CM6" si="24">CL4-CL5</f>
        <v>31</v>
      </c>
      <c r="CM6" s="38">
        <f t="shared" si="24"/>
        <v>34</v>
      </c>
      <c r="CN6" s="38">
        <f t="shared" ref="CN6:CO6" si="25">CN4-CN5</f>
        <v>34</v>
      </c>
      <c r="CO6" s="38">
        <f t="shared" si="25"/>
        <v>37</v>
      </c>
      <c r="CP6" s="38">
        <f t="shared" ref="CP6:CQ6" si="26">CP4-CP5</f>
        <v>42</v>
      </c>
      <c r="CQ6" s="38">
        <f t="shared" si="26"/>
        <v>43</v>
      </c>
    </row>
    <row r="7" spans="1:95" ht="15" x14ac:dyDescent="0.2">
      <c r="A7" s="37" t="s">
        <v>38</v>
      </c>
      <c r="B7" s="38">
        <v>0</v>
      </c>
      <c r="C7" s="38">
        <v>2</v>
      </c>
      <c r="D7" s="38">
        <v>2</v>
      </c>
      <c r="E7" s="38">
        <v>0</v>
      </c>
      <c r="F7" s="38">
        <v>2</v>
      </c>
      <c r="G7" s="38">
        <v>1</v>
      </c>
      <c r="H7" s="38">
        <v>0</v>
      </c>
      <c r="I7" s="38">
        <v>4</v>
      </c>
      <c r="J7" s="38">
        <v>1</v>
      </c>
      <c r="K7" s="38">
        <v>0</v>
      </c>
      <c r="L7" s="38">
        <v>0</v>
      </c>
      <c r="M7" s="38">
        <v>0</v>
      </c>
      <c r="N7" s="38">
        <v>0</v>
      </c>
      <c r="O7" s="38">
        <v>0</v>
      </c>
      <c r="P7" s="38">
        <v>0</v>
      </c>
      <c r="Q7" s="38">
        <v>0</v>
      </c>
      <c r="R7" s="38">
        <v>0</v>
      </c>
      <c r="S7" s="38">
        <v>0</v>
      </c>
      <c r="T7" s="38">
        <v>0</v>
      </c>
      <c r="U7" s="38">
        <v>0</v>
      </c>
      <c r="V7" s="38">
        <v>2</v>
      </c>
      <c r="W7" s="38">
        <v>0</v>
      </c>
      <c r="X7" s="38">
        <v>0</v>
      </c>
      <c r="Y7" s="38">
        <v>0</v>
      </c>
      <c r="Z7" s="38">
        <v>0</v>
      </c>
      <c r="AA7" s="38">
        <v>1</v>
      </c>
      <c r="AB7" s="38">
        <v>0</v>
      </c>
      <c r="AC7" s="38">
        <v>1</v>
      </c>
      <c r="AD7" s="38">
        <v>0</v>
      </c>
      <c r="AE7" s="38">
        <v>0</v>
      </c>
      <c r="AF7" s="38">
        <v>1</v>
      </c>
      <c r="AG7" s="38">
        <v>0</v>
      </c>
      <c r="AH7" s="38">
        <v>0</v>
      </c>
      <c r="AI7" s="38">
        <v>0</v>
      </c>
      <c r="AJ7" s="38">
        <v>0</v>
      </c>
      <c r="AK7" s="38">
        <v>0</v>
      </c>
      <c r="AL7" s="38">
        <v>0</v>
      </c>
      <c r="AM7" s="38">
        <v>0</v>
      </c>
      <c r="AN7" s="38">
        <v>0</v>
      </c>
      <c r="AO7" s="38">
        <v>0</v>
      </c>
      <c r="AP7" s="38">
        <v>0</v>
      </c>
      <c r="AQ7" s="38">
        <v>0</v>
      </c>
      <c r="AR7" s="38">
        <v>2</v>
      </c>
      <c r="AS7" s="38">
        <v>0</v>
      </c>
      <c r="AT7" s="38">
        <v>0</v>
      </c>
      <c r="AU7" s="38">
        <v>0</v>
      </c>
      <c r="AV7" s="38">
        <v>0</v>
      </c>
      <c r="AW7" s="38">
        <v>0</v>
      </c>
      <c r="AX7" s="38">
        <v>0</v>
      </c>
      <c r="AY7" s="38">
        <v>0</v>
      </c>
      <c r="AZ7" s="38">
        <v>0</v>
      </c>
      <c r="BA7" s="38">
        <v>0</v>
      </c>
      <c r="BB7" s="38">
        <v>0</v>
      </c>
      <c r="BC7" s="38">
        <v>0</v>
      </c>
      <c r="BD7" s="38">
        <v>0</v>
      </c>
      <c r="BE7" s="38">
        <v>0</v>
      </c>
      <c r="BF7" s="38">
        <v>0</v>
      </c>
      <c r="BG7" s="38">
        <v>0</v>
      </c>
      <c r="BH7" s="38">
        <v>0</v>
      </c>
      <c r="BI7" s="38">
        <v>1</v>
      </c>
      <c r="BJ7" s="38">
        <v>0</v>
      </c>
      <c r="BK7" s="38">
        <v>0</v>
      </c>
      <c r="BL7" s="38">
        <v>0</v>
      </c>
      <c r="BM7" s="38">
        <v>0</v>
      </c>
      <c r="BN7" s="38">
        <v>0</v>
      </c>
      <c r="BO7" s="38">
        <v>0</v>
      </c>
      <c r="BP7" s="38">
        <v>0</v>
      </c>
      <c r="BQ7" s="38">
        <v>0</v>
      </c>
      <c r="BR7" s="38">
        <v>0</v>
      </c>
      <c r="BS7" s="38">
        <v>0</v>
      </c>
      <c r="BT7" s="38">
        <v>0</v>
      </c>
      <c r="BU7" s="38">
        <v>0</v>
      </c>
      <c r="BV7" s="38">
        <v>0</v>
      </c>
      <c r="BW7" s="38">
        <v>0</v>
      </c>
      <c r="BX7" s="38">
        <v>0</v>
      </c>
      <c r="BY7" s="38">
        <v>0</v>
      </c>
      <c r="BZ7" s="38">
        <v>0</v>
      </c>
      <c r="CA7" s="38">
        <v>0</v>
      </c>
      <c r="CB7" s="38">
        <v>0</v>
      </c>
      <c r="CC7" s="38">
        <v>0</v>
      </c>
      <c r="CD7" s="38">
        <v>0</v>
      </c>
      <c r="CE7" s="38">
        <v>0</v>
      </c>
      <c r="CF7" s="38">
        <v>0</v>
      </c>
      <c r="CG7" s="38">
        <v>0</v>
      </c>
      <c r="CH7" s="38">
        <v>0</v>
      </c>
      <c r="CI7" s="38">
        <v>0</v>
      </c>
      <c r="CJ7" s="38">
        <v>0</v>
      </c>
      <c r="CK7" s="38">
        <v>0</v>
      </c>
      <c r="CL7" s="38">
        <v>0</v>
      </c>
      <c r="CM7" s="38">
        <v>0</v>
      </c>
      <c r="CN7" s="38">
        <v>0</v>
      </c>
      <c r="CO7" s="38">
        <v>0</v>
      </c>
      <c r="CP7" s="38">
        <v>0</v>
      </c>
      <c r="CQ7" s="38">
        <v>0</v>
      </c>
    </row>
    <row r="8" spans="1:95" ht="15" x14ac:dyDescent="0.2">
      <c r="A8" s="37" t="s">
        <v>42</v>
      </c>
      <c r="B8" s="38">
        <v>0</v>
      </c>
      <c r="C8" s="38">
        <v>0</v>
      </c>
      <c r="D8" s="38">
        <v>11</v>
      </c>
      <c r="E8" s="38">
        <v>4</v>
      </c>
      <c r="F8" s="38">
        <v>16</v>
      </c>
      <c r="G8" s="38">
        <v>3</v>
      </c>
      <c r="H8" s="38">
        <v>0</v>
      </c>
      <c r="I8" s="38">
        <v>26</v>
      </c>
      <c r="J8" s="38">
        <v>1</v>
      </c>
      <c r="K8" s="38">
        <v>0</v>
      </c>
      <c r="L8" s="38">
        <v>0</v>
      </c>
      <c r="M8" s="38">
        <v>3</v>
      </c>
      <c r="N8" s="38">
        <v>3</v>
      </c>
      <c r="O8" s="38">
        <v>0</v>
      </c>
      <c r="P8" s="38">
        <v>0</v>
      </c>
      <c r="Q8" s="38">
        <v>0</v>
      </c>
      <c r="R8" s="38">
        <v>0</v>
      </c>
      <c r="S8" s="38">
        <v>0</v>
      </c>
      <c r="T8" s="38">
        <v>0</v>
      </c>
      <c r="U8" s="38">
        <v>12</v>
      </c>
      <c r="V8" s="38">
        <v>6</v>
      </c>
      <c r="W8" s="38">
        <v>2</v>
      </c>
      <c r="X8" s="38">
        <v>0</v>
      </c>
      <c r="Y8" s="38">
        <v>0</v>
      </c>
      <c r="Z8" s="38">
        <v>10</v>
      </c>
      <c r="AA8" s="38">
        <v>4</v>
      </c>
      <c r="AB8" s="38">
        <v>1</v>
      </c>
      <c r="AC8" s="38">
        <v>0</v>
      </c>
      <c r="AD8" s="38">
        <v>5</v>
      </c>
      <c r="AE8" s="38">
        <v>1</v>
      </c>
      <c r="AF8" s="38">
        <v>5</v>
      </c>
      <c r="AG8" s="38">
        <v>0</v>
      </c>
      <c r="AH8" s="38">
        <v>2</v>
      </c>
      <c r="AI8" s="38">
        <v>1</v>
      </c>
      <c r="AJ8" s="38">
        <v>0</v>
      </c>
      <c r="AK8" s="38">
        <v>5</v>
      </c>
      <c r="AL8" s="38">
        <v>0</v>
      </c>
      <c r="AM8" s="38">
        <v>0</v>
      </c>
      <c r="AN8" s="38">
        <v>10</v>
      </c>
      <c r="AO8" s="38">
        <v>0</v>
      </c>
      <c r="AP8" s="38">
        <v>1</v>
      </c>
      <c r="AQ8" s="38">
        <v>6</v>
      </c>
      <c r="AR8" s="38">
        <v>2</v>
      </c>
      <c r="AS8" s="38">
        <v>7</v>
      </c>
      <c r="AT8" s="38">
        <v>1</v>
      </c>
      <c r="AU8" s="38">
        <v>2</v>
      </c>
      <c r="AV8" s="38">
        <v>14</v>
      </c>
      <c r="AW8" s="38">
        <v>2</v>
      </c>
      <c r="AX8" s="38">
        <v>4</v>
      </c>
      <c r="AY8" s="38">
        <v>4</v>
      </c>
      <c r="AZ8" s="38">
        <v>2</v>
      </c>
      <c r="BA8" s="38">
        <v>3</v>
      </c>
      <c r="BB8" s="38">
        <v>5</v>
      </c>
      <c r="BC8" s="38">
        <v>0</v>
      </c>
      <c r="BD8" s="38">
        <v>2</v>
      </c>
      <c r="BE8" s="38">
        <v>0</v>
      </c>
      <c r="BF8" s="38">
        <v>3</v>
      </c>
      <c r="BG8" s="38">
        <v>1</v>
      </c>
      <c r="BH8" s="38">
        <v>7</v>
      </c>
      <c r="BI8" s="38">
        <v>6</v>
      </c>
      <c r="BJ8" s="38">
        <v>0</v>
      </c>
      <c r="BK8" s="38">
        <v>2</v>
      </c>
      <c r="BL8" s="38">
        <v>4</v>
      </c>
      <c r="BM8" s="38">
        <v>0</v>
      </c>
      <c r="BN8" s="38">
        <v>10</v>
      </c>
      <c r="BO8" s="38">
        <v>1</v>
      </c>
      <c r="BP8" s="38">
        <v>6</v>
      </c>
      <c r="BQ8" s="38">
        <v>1</v>
      </c>
      <c r="BR8" s="38">
        <v>0</v>
      </c>
      <c r="BS8" s="38">
        <v>4</v>
      </c>
      <c r="BT8" s="38">
        <v>7</v>
      </c>
      <c r="BU8" s="38">
        <v>4</v>
      </c>
      <c r="BV8" s="38">
        <v>0</v>
      </c>
      <c r="BW8" s="38">
        <v>0</v>
      </c>
      <c r="BX8" s="38">
        <v>0</v>
      </c>
      <c r="BY8" s="38">
        <v>4</v>
      </c>
      <c r="BZ8" s="38">
        <v>4</v>
      </c>
      <c r="CA8" s="38">
        <v>5</v>
      </c>
      <c r="CB8" s="38">
        <v>3</v>
      </c>
      <c r="CC8" s="38">
        <v>12</v>
      </c>
      <c r="CD8" s="38">
        <v>0</v>
      </c>
      <c r="CE8" s="38">
        <v>0</v>
      </c>
      <c r="CF8" s="38">
        <v>0</v>
      </c>
      <c r="CG8" s="38">
        <v>0</v>
      </c>
      <c r="CH8" s="38">
        <v>0</v>
      </c>
      <c r="CI8" s="38">
        <v>0</v>
      </c>
      <c r="CJ8" s="38">
        <v>16</v>
      </c>
      <c r="CK8" s="38">
        <v>0</v>
      </c>
      <c r="CL8" s="38">
        <v>0</v>
      </c>
      <c r="CM8" s="38">
        <v>0</v>
      </c>
      <c r="CN8" s="38">
        <v>5</v>
      </c>
      <c r="CO8" s="38">
        <v>2</v>
      </c>
      <c r="CP8" s="38">
        <v>12</v>
      </c>
      <c r="CQ8" s="38">
        <v>6</v>
      </c>
    </row>
    <row r="9" spans="1:95" ht="15" x14ac:dyDescent="0.2">
      <c r="A9" s="37" t="s">
        <v>39</v>
      </c>
      <c r="B9" s="38">
        <v>0</v>
      </c>
      <c r="C9" s="38">
        <v>0</v>
      </c>
      <c r="D9" s="38">
        <v>0</v>
      </c>
      <c r="E9" s="38">
        <v>16</v>
      </c>
      <c r="F9" s="38">
        <v>1</v>
      </c>
      <c r="G9" s="38">
        <v>1</v>
      </c>
      <c r="H9" s="38">
        <v>0</v>
      </c>
      <c r="I9" s="38">
        <v>1</v>
      </c>
      <c r="J9" s="38">
        <v>0</v>
      </c>
      <c r="K9" s="38">
        <v>0</v>
      </c>
      <c r="L9" s="38">
        <v>0</v>
      </c>
      <c r="M9" s="38">
        <v>0</v>
      </c>
      <c r="N9" s="38">
        <v>0</v>
      </c>
      <c r="O9" s="38">
        <v>0</v>
      </c>
      <c r="P9" s="38">
        <v>1</v>
      </c>
      <c r="Q9" s="38">
        <v>0</v>
      </c>
      <c r="R9" s="38">
        <v>0</v>
      </c>
      <c r="S9" s="38">
        <v>0</v>
      </c>
      <c r="T9" s="38">
        <v>0</v>
      </c>
      <c r="U9" s="38">
        <v>0</v>
      </c>
      <c r="V9" s="38">
        <v>0</v>
      </c>
      <c r="W9" s="38">
        <v>1</v>
      </c>
      <c r="X9" s="38">
        <v>0</v>
      </c>
      <c r="Y9" s="38">
        <v>0</v>
      </c>
      <c r="Z9" s="38">
        <v>0</v>
      </c>
      <c r="AA9" s="38">
        <v>0</v>
      </c>
      <c r="AB9" s="38">
        <v>0</v>
      </c>
      <c r="AC9" s="38">
        <v>0</v>
      </c>
      <c r="AD9" s="38">
        <v>0</v>
      </c>
      <c r="AE9" s="38">
        <v>0</v>
      </c>
      <c r="AF9" s="38">
        <v>0</v>
      </c>
      <c r="AG9" s="38">
        <v>0</v>
      </c>
      <c r="AH9" s="38">
        <v>0</v>
      </c>
      <c r="AI9" s="38">
        <v>0</v>
      </c>
      <c r="AJ9" s="38">
        <v>0</v>
      </c>
      <c r="AK9" s="38">
        <v>0</v>
      </c>
      <c r="AL9" s="38">
        <v>0</v>
      </c>
      <c r="AM9" s="38">
        <v>0</v>
      </c>
      <c r="AN9" s="38">
        <v>0</v>
      </c>
      <c r="AO9" s="38">
        <v>0</v>
      </c>
      <c r="AP9" s="38">
        <v>0</v>
      </c>
      <c r="AQ9" s="38">
        <v>0</v>
      </c>
      <c r="AR9" s="38">
        <v>0</v>
      </c>
      <c r="AS9" s="38">
        <v>0</v>
      </c>
      <c r="AT9" s="38">
        <v>0</v>
      </c>
      <c r="AU9" s="38">
        <v>0</v>
      </c>
      <c r="AV9" s="38">
        <v>0</v>
      </c>
      <c r="AW9" s="38">
        <v>0</v>
      </c>
      <c r="AX9" s="38">
        <v>0</v>
      </c>
      <c r="AY9" s="38">
        <v>0</v>
      </c>
      <c r="AZ9" s="38">
        <v>0</v>
      </c>
      <c r="BA9" s="38">
        <v>0</v>
      </c>
      <c r="BB9" s="38">
        <v>0</v>
      </c>
      <c r="BC9" s="38">
        <v>0</v>
      </c>
      <c r="BD9" s="38">
        <v>0</v>
      </c>
      <c r="BE9" s="38">
        <v>0</v>
      </c>
      <c r="BF9" s="38">
        <v>0</v>
      </c>
      <c r="BG9" s="38">
        <v>0</v>
      </c>
      <c r="BH9" s="38">
        <v>0</v>
      </c>
      <c r="BI9" s="38">
        <v>0</v>
      </c>
      <c r="BJ9" s="38">
        <v>0</v>
      </c>
      <c r="BK9" s="38">
        <v>0</v>
      </c>
      <c r="BL9" s="38">
        <v>0</v>
      </c>
      <c r="BM9" s="38">
        <v>0</v>
      </c>
      <c r="BN9" s="38">
        <v>0</v>
      </c>
      <c r="BO9" s="38">
        <v>0</v>
      </c>
      <c r="BP9" s="38">
        <v>0</v>
      </c>
      <c r="BQ9" s="38">
        <v>0</v>
      </c>
      <c r="BR9" s="38">
        <v>0</v>
      </c>
      <c r="BS9" s="38">
        <v>0</v>
      </c>
      <c r="BT9" s="38">
        <v>0</v>
      </c>
      <c r="BU9" s="38">
        <v>0</v>
      </c>
      <c r="BV9" s="38">
        <v>0</v>
      </c>
      <c r="BW9" s="38">
        <v>0</v>
      </c>
      <c r="BX9" s="38">
        <v>0</v>
      </c>
      <c r="BY9" s="38">
        <v>0</v>
      </c>
      <c r="BZ9" s="38">
        <v>0</v>
      </c>
      <c r="CA9" s="38">
        <v>0</v>
      </c>
      <c r="CB9" s="38">
        <v>0</v>
      </c>
      <c r="CC9" s="38">
        <v>0</v>
      </c>
      <c r="CD9" s="38">
        <v>0</v>
      </c>
      <c r="CE9" s="38">
        <v>0</v>
      </c>
      <c r="CF9" s="38">
        <v>0</v>
      </c>
      <c r="CG9" s="38">
        <v>1</v>
      </c>
      <c r="CH9" s="38">
        <v>0</v>
      </c>
      <c r="CI9" s="38">
        <v>0</v>
      </c>
      <c r="CJ9" s="38">
        <v>1</v>
      </c>
      <c r="CK9" s="38">
        <v>0</v>
      </c>
      <c r="CL9" s="38">
        <v>0</v>
      </c>
      <c r="CM9" s="38">
        <v>0</v>
      </c>
      <c r="CN9" s="38">
        <v>0</v>
      </c>
      <c r="CO9" s="38">
        <v>0</v>
      </c>
      <c r="CP9" s="38">
        <v>0</v>
      </c>
      <c r="CQ9" s="38">
        <v>1</v>
      </c>
    </row>
    <row r="10" spans="1:95" ht="15" x14ac:dyDescent="0.2">
      <c r="A10" s="37" t="s">
        <v>43</v>
      </c>
      <c r="B10" s="38">
        <v>0</v>
      </c>
      <c r="C10" s="38">
        <v>0</v>
      </c>
      <c r="D10" s="38">
        <v>11</v>
      </c>
      <c r="E10" s="38">
        <v>4</v>
      </c>
      <c r="F10" s="38">
        <v>13</v>
      </c>
      <c r="G10" s="38">
        <v>11</v>
      </c>
      <c r="H10" s="38">
        <v>6</v>
      </c>
      <c r="I10" s="38">
        <v>49</v>
      </c>
      <c r="J10" s="38">
        <v>0</v>
      </c>
      <c r="K10" s="38">
        <v>0</v>
      </c>
      <c r="L10" s="38">
        <v>0</v>
      </c>
      <c r="M10" s="38">
        <v>0</v>
      </c>
      <c r="N10" s="38">
        <v>0</v>
      </c>
      <c r="O10" s="38">
        <v>0</v>
      </c>
      <c r="P10" s="38">
        <v>0</v>
      </c>
      <c r="Q10" s="38">
        <v>0</v>
      </c>
      <c r="R10" s="38">
        <v>1</v>
      </c>
      <c r="S10" s="38">
        <v>0</v>
      </c>
      <c r="T10" s="38">
        <v>3</v>
      </c>
      <c r="U10" s="38">
        <v>4</v>
      </c>
      <c r="V10" s="38">
        <v>0</v>
      </c>
      <c r="W10" s="38">
        <v>7</v>
      </c>
      <c r="X10" s="38">
        <v>3</v>
      </c>
      <c r="Y10" s="38">
        <v>5</v>
      </c>
      <c r="Z10" s="38">
        <v>5</v>
      </c>
      <c r="AA10" s="38">
        <v>0</v>
      </c>
      <c r="AB10" s="38">
        <v>0</v>
      </c>
      <c r="AC10" s="38">
        <v>5</v>
      </c>
      <c r="AD10" s="38">
        <v>6</v>
      </c>
      <c r="AE10" s="38">
        <v>7</v>
      </c>
      <c r="AF10" s="38">
        <v>8</v>
      </c>
      <c r="AG10" s="38">
        <v>6</v>
      </c>
      <c r="AH10" s="38">
        <v>4</v>
      </c>
      <c r="AI10" s="38">
        <v>8</v>
      </c>
      <c r="AJ10" s="38">
        <v>3</v>
      </c>
      <c r="AK10" s="38">
        <v>8</v>
      </c>
      <c r="AL10" s="38">
        <v>7</v>
      </c>
      <c r="AM10" s="38">
        <v>8</v>
      </c>
      <c r="AN10" s="38">
        <v>13</v>
      </c>
      <c r="AO10" s="38">
        <v>0</v>
      </c>
      <c r="AP10" s="38">
        <v>0</v>
      </c>
      <c r="AQ10" s="38">
        <v>1</v>
      </c>
      <c r="AR10" s="38">
        <v>6</v>
      </c>
      <c r="AS10" s="38">
        <v>2</v>
      </c>
      <c r="AT10" s="38">
        <v>3</v>
      </c>
      <c r="AU10" s="38">
        <v>4</v>
      </c>
      <c r="AV10" s="38">
        <v>5</v>
      </c>
      <c r="AW10" s="38">
        <v>2</v>
      </c>
      <c r="AX10" s="38">
        <v>4</v>
      </c>
      <c r="AY10" s="38">
        <v>0</v>
      </c>
      <c r="AZ10" s="38">
        <v>5</v>
      </c>
      <c r="BA10" s="38">
        <v>5</v>
      </c>
      <c r="BB10" s="38">
        <v>3</v>
      </c>
      <c r="BC10" s="38">
        <v>9</v>
      </c>
      <c r="BD10" s="38">
        <v>6</v>
      </c>
      <c r="BE10" s="38">
        <v>6</v>
      </c>
      <c r="BF10" s="38">
        <v>6</v>
      </c>
      <c r="BG10" s="38">
        <v>5</v>
      </c>
      <c r="BH10" s="38">
        <v>1</v>
      </c>
      <c r="BI10" s="38">
        <v>5</v>
      </c>
      <c r="BJ10" s="38">
        <v>0</v>
      </c>
      <c r="BK10" s="38">
        <v>2</v>
      </c>
      <c r="BL10" s="38">
        <v>2</v>
      </c>
      <c r="BM10" s="38">
        <v>6</v>
      </c>
      <c r="BN10" s="38">
        <v>3</v>
      </c>
      <c r="BO10" s="38">
        <v>4</v>
      </c>
      <c r="BP10" s="38">
        <v>3</v>
      </c>
      <c r="BQ10" s="38">
        <v>2</v>
      </c>
      <c r="BR10" s="38">
        <v>3</v>
      </c>
      <c r="BS10" s="38">
        <v>7</v>
      </c>
      <c r="BT10" s="38">
        <v>4</v>
      </c>
      <c r="BU10" s="38">
        <v>5</v>
      </c>
      <c r="BV10" s="38">
        <v>4</v>
      </c>
      <c r="BW10" s="38">
        <v>5</v>
      </c>
      <c r="BX10" s="38">
        <v>4</v>
      </c>
      <c r="BY10" s="38">
        <v>2</v>
      </c>
      <c r="BZ10" s="38">
        <v>3</v>
      </c>
      <c r="CA10" s="38">
        <v>2</v>
      </c>
      <c r="CB10" s="38">
        <v>1</v>
      </c>
      <c r="CC10" s="38">
        <v>4</v>
      </c>
      <c r="CD10" s="38">
        <v>2</v>
      </c>
      <c r="CE10" s="38">
        <v>5</v>
      </c>
      <c r="CF10" s="38">
        <v>2</v>
      </c>
      <c r="CG10" s="38">
        <v>1</v>
      </c>
      <c r="CH10" s="38">
        <v>17</v>
      </c>
      <c r="CI10" s="38">
        <v>17</v>
      </c>
      <c r="CJ10" s="38">
        <v>0</v>
      </c>
      <c r="CK10" s="38">
        <v>1</v>
      </c>
      <c r="CL10" s="38">
        <v>1</v>
      </c>
      <c r="CM10" s="38">
        <v>3</v>
      </c>
      <c r="CN10" s="38">
        <v>2</v>
      </c>
      <c r="CO10" s="38">
        <v>1</v>
      </c>
      <c r="CP10" s="38">
        <v>3</v>
      </c>
      <c r="CQ10" s="38">
        <v>3</v>
      </c>
    </row>
    <row r="41" spans="1:3" x14ac:dyDescent="0.2">
      <c r="A41" s="31"/>
    </row>
    <row r="42" spans="1:3" x14ac:dyDescent="0.2">
      <c r="A42" s="31" t="s">
        <v>37</v>
      </c>
      <c r="B42" s="33">
        <v>0</v>
      </c>
      <c r="C42" s="40"/>
    </row>
    <row r="43" spans="1:3" x14ac:dyDescent="0.2">
      <c r="A43" s="39" t="s">
        <v>45</v>
      </c>
      <c r="B43" s="33">
        <v>2</v>
      </c>
      <c r="C43" s="40"/>
    </row>
    <row r="44" spans="1:3" x14ac:dyDescent="0.2">
      <c r="A44" s="31" t="s">
        <v>40</v>
      </c>
      <c r="B44" s="33">
        <v>0</v>
      </c>
      <c r="C44" s="40"/>
    </row>
    <row r="45" spans="1:3" x14ac:dyDescent="0.2">
      <c r="A45" s="31" t="s">
        <v>41</v>
      </c>
      <c r="B45" s="33">
        <v>0</v>
      </c>
      <c r="C45" s="40"/>
    </row>
    <row r="47" spans="1:3" x14ac:dyDescent="0.2">
      <c r="A47" s="39" t="s">
        <v>44</v>
      </c>
      <c r="B47" s="36"/>
    </row>
  </sheetData>
  <pageMargins left="0.7" right="0.7" top="0.75" bottom="0.75" header="0.3" footer="0.3"/>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51"/>
  <sheetViews>
    <sheetView topLeftCell="A28" workbookViewId="0">
      <selection activeCell="B52" sqref="B52"/>
    </sheetView>
  </sheetViews>
  <sheetFormatPr defaultRowHeight="12.75" x14ac:dyDescent="0.2"/>
  <cols>
    <col min="1" max="1" width="10.85546875" style="6" customWidth="1"/>
    <col min="2" max="2" width="75" style="11" customWidth="1"/>
    <col min="14" max="14" width="9" customWidth="1"/>
  </cols>
  <sheetData>
    <row r="1" spans="1:2" ht="13.5" thickBot="1" x14ac:dyDescent="0.25">
      <c r="A1" s="7" t="s">
        <v>21</v>
      </c>
      <c r="B1" s="9" t="s">
        <v>22</v>
      </c>
    </row>
    <row r="2" spans="1:2" x14ac:dyDescent="0.2">
      <c r="A2" s="8">
        <v>40007</v>
      </c>
      <c r="B2" s="10" t="s">
        <v>23</v>
      </c>
    </row>
    <row r="3" spans="1:2" x14ac:dyDescent="0.2">
      <c r="A3" s="5">
        <v>40025</v>
      </c>
      <c r="B3" s="11" t="s">
        <v>1</v>
      </c>
    </row>
    <row r="4" spans="1:2" x14ac:dyDescent="0.2">
      <c r="A4" s="5"/>
      <c r="B4" s="11" t="s">
        <v>5</v>
      </c>
    </row>
    <row r="5" spans="1:2" x14ac:dyDescent="0.2">
      <c r="A5" s="5"/>
      <c r="B5" s="11" t="s">
        <v>6</v>
      </c>
    </row>
    <row r="6" spans="1:2" x14ac:dyDescent="0.2">
      <c r="A6" s="5"/>
      <c r="B6" s="11" t="s">
        <v>2</v>
      </c>
    </row>
    <row r="7" spans="1:2" x14ac:dyDescent="0.2">
      <c r="A7" s="13"/>
      <c r="B7" s="14" t="s">
        <v>4</v>
      </c>
    </row>
    <row r="8" spans="1:2" x14ac:dyDescent="0.2">
      <c r="A8" s="5"/>
      <c r="B8" s="11" t="s">
        <v>3</v>
      </c>
    </row>
    <row r="9" spans="1:2" ht="25.5" x14ac:dyDescent="0.2">
      <c r="A9" s="5"/>
      <c r="B9" s="11" t="s">
        <v>29</v>
      </c>
    </row>
    <row r="10" spans="1:2" ht="25.5" x14ac:dyDescent="0.2">
      <c r="A10" s="5"/>
      <c r="B10" s="11" t="s">
        <v>28</v>
      </c>
    </row>
    <row r="11" spans="1:2" x14ac:dyDescent="0.2">
      <c r="A11" s="5"/>
      <c r="B11" s="11" t="s">
        <v>0</v>
      </c>
    </row>
    <row r="12" spans="1:2" ht="25.5" x14ac:dyDescent="0.2">
      <c r="A12" s="5"/>
      <c r="B12" s="11" t="s">
        <v>26</v>
      </c>
    </row>
    <row r="13" spans="1:2" ht="25.5" x14ac:dyDescent="0.2">
      <c r="A13" s="15"/>
      <c r="B13" s="12" t="s">
        <v>27</v>
      </c>
    </row>
    <row r="14" spans="1:2" x14ac:dyDescent="0.2">
      <c r="A14" s="90">
        <v>40089</v>
      </c>
      <c r="B14" s="88" t="s">
        <v>7</v>
      </c>
    </row>
    <row r="15" spans="1:2" x14ac:dyDescent="0.2">
      <c r="A15" s="5">
        <v>40914</v>
      </c>
      <c r="B15" s="89" t="s">
        <v>51</v>
      </c>
    </row>
    <row r="16" spans="1:2" x14ac:dyDescent="0.2">
      <c r="B16" s="87" t="s">
        <v>62</v>
      </c>
    </row>
    <row r="17" spans="1:2" x14ac:dyDescent="0.2">
      <c r="B17" s="87" t="s">
        <v>52</v>
      </c>
    </row>
    <row r="18" spans="1:2" x14ac:dyDescent="0.2">
      <c r="B18" s="87" t="s">
        <v>53</v>
      </c>
    </row>
    <row r="19" spans="1:2" x14ac:dyDescent="0.2">
      <c r="B19" s="87" t="s">
        <v>54</v>
      </c>
    </row>
    <row r="20" spans="1:2" x14ac:dyDescent="0.2">
      <c r="B20" s="87" t="s">
        <v>55</v>
      </c>
    </row>
    <row r="21" spans="1:2" x14ac:dyDescent="0.2">
      <c r="B21" s="87" t="s">
        <v>56</v>
      </c>
    </row>
    <row r="22" spans="1:2" x14ac:dyDescent="0.2">
      <c r="B22" s="87" t="s">
        <v>57</v>
      </c>
    </row>
    <row r="23" spans="1:2" x14ac:dyDescent="0.2">
      <c r="B23" s="87" t="s">
        <v>58</v>
      </c>
    </row>
    <row r="24" spans="1:2" x14ac:dyDescent="0.2">
      <c r="B24" s="87" t="s">
        <v>59</v>
      </c>
    </row>
    <row r="25" spans="1:2" x14ac:dyDescent="0.2">
      <c r="B25" s="87" t="s">
        <v>60</v>
      </c>
    </row>
    <row r="26" spans="1:2" x14ac:dyDescent="0.2">
      <c r="A26" s="91"/>
      <c r="B26" s="92" t="s">
        <v>61</v>
      </c>
    </row>
    <row r="27" spans="1:2" x14ac:dyDescent="0.2">
      <c r="A27" s="5">
        <v>40919</v>
      </c>
      <c r="B27" s="89" t="s">
        <v>63</v>
      </c>
    </row>
    <row r="28" spans="1:2" x14ac:dyDescent="0.2">
      <c r="A28" s="91"/>
      <c r="B28" s="12" t="s">
        <v>64</v>
      </c>
    </row>
    <row r="29" spans="1:2" ht="12.75" customHeight="1" x14ac:dyDescent="0.2">
      <c r="A29" s="5">
        <v>40921</v>
      </c>
      <c r="B29" s="89" t="s">
        <v>65</v>
      </c>
    </row>
    <row r="30" spans="1:2" x14ac:dyDescent="0.2">
      <c r="A30" s="13"/>
      <c r="B30" s="14" t="s">
        <v>66</v>
      </c>
    </row>
    <row r="31" spans="1:2" x14ac:dyDescent="0.2">
      <c r="A31" s="13"/>
      <c r="B31" s="14" t="s">
        <v>68</v>
      </c>
    </row>
    <row r="32" spans="1:2" x14ac:dyDescent="0.2">
      <c r="A32" s="13"/>
      <c r="B32" s="14" t="s">
        <v>67</v>
      </c>
    </row>
    <row r="33" spans="1:2" x14ac:dyDescent="0.2">
      <c r="A33" s="13"/>
      <c r="B33" s="14" t="s">
        <v>69</v>
      </c>
    </row>
    <row r="34" spans="1:2" x14ac:dyDescent="0.2">
      <c r="A34" s="13"/>
      <c r="B34" s="14" t="s">
        <v>70</v>
      </c>
    </row>
    <row r="35" spans="1:2" x14ac:dyDescent="0.2">
      <c r="A35" s="91"/>
      <c r="B35" s="12" t="s">
        <v>71</v>
      </c>
    </row>
    <row r="36" spans="1:2" ht="12.75" customHeight="1" x14ac:dyDescent="0.2">
      <c r="A36" s="5">
        <v>40935</v>
      </c>
      <c r="B36" s="89" t="s">
        <v>72</v>
      </c>
    </row>
    <row r="37" spans="1:2" x14ac:dyDescent="0.2">
      <c r="A37" s="91"/>
      <c r="B37" s="12" t="s">
        <v>73</v>
      </c>
    </row>
    <row r="38" spans="1:2" ht="25.5" x14ac:dyDescent="0.2">
      <c r="A38" s="90">
        <v>40939</v>
      </c>
      <c r="B38" s="95" t="s">
        <v>74</v>
      </c>
    </row>
    <row r="39" spans="1:2" x14ac:dyDescent="0.2">
      <c r="A39" s="5">
        <v>41045</v>
      </c>
      <c r="B39" s="11" t="s">
        <v>75</v>
      </c>
    </row>
    <row r="40" spans="1:2" x14ac:dyDescent="0.2">
      <c r="B40" s="11" t="s">
        <v>76</v>
      </c>
    </row>
    <row r="41" spans="1:2" x14ac:dyDescent="0.2">
      <c r="B41" s="11" t="s">
        <v>78</v>
      </c>
    </row>
    <row r="42" spans="1:2" x14ac:dyDescent="0.2">
      <c r="B42" s="11" t="s">
        <v>79</v>
      </c>
    </row>
    <row r="43" spans="1:2" x14ac:dyDescent="0.2">
      <c r="B43" s="11" t="s">
        <v>80</v>
      </c>
    </row>
    <row r="44" spans="1:2" x14ac:dyDescent="0.2">
      <c r="B44" s="11" t="s">
        <v>81</v>
      </c>
    </row>
    <row r="46" spans="1:2" x14ac:dyDescent="0.2">
      <c r="B46" s="11" t="s">
        <v>82</v>
      </c>
    </row>
    <row r="47" spans="1:2" ht="25.5" x14ac:dyDescent="0.2">
      <c r="A47" s="13"/>
      <c r="B47" s="14" t="s">
        <v>83</v>
      </c>
    </row>
    <row r="48" spans="1:2" ht="25.5" x14ac:dyDescent="0.2">
      <c r="B48" s="11" t="s">
        <v>84</v>
      </c>
    </row>
    <row r="49" spans="1:2" ht="38.25" x14ac:dyDescent="0.2">
      <c r="B49" s="11" t="s">
        <v>85</v>
      </c>
    </row>
    <row r="50" spans="1:2" ht="51" x14ac:dyDescent="0.2">
      <c r="A50" s="91"/>
      <c r="B50" s="12" t="s">
        <v>86</v>
      </c>
    </row>
    <row r="51" spans="1:2" x14ac:dyDescent="0.2">
      <c r="A51" s="5">
        <v>41677</v>
      </c>
      <c r="B51" s="11" t="s">
        <v>1508</v>
      </c>
    </row>
  </sheetData>
  <phoneticPr fontId="3"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tabColor indexed="10"/>
    <pageSetUpPr fitToPage="1"/>
  </sheetPr>
  <dimension ref="A1:R3"/>
  <sheetViews>
    <sheetView zoomScale="75" zoomScaleNormal="50" zoomScaleSheetLayoutView="75" workbookViewId="0">
      <selection activeCell="A2" sqref="A2"/>
    </sheetView>
  </sheetViews>
  <sheetFormatPr defaultRowHeight="15" x14ac:dyDescent="0.2"/>
  <cols>
    <col min="1" max="1" width="18" style="1" bestFit="1" customWidth="1"/>
    <col min="2" max="2" width="21.5703125" style="2" customWidth="1"/>
    <col min="3" max="3" width="15.7109375" style="1" customWidth="1"/>
    <col min="4" max="4" width="13.28515625" style="1" customWidth="1"/>
    <col min="5" max="5" width="60.85546875" style="1" customWidth="1"/>
    <col min="6" max="6" width="6.42578125" style="4" customWidth="1"/>
    <col min="7" max="7" width="13.42578125" style="21" customWidth="1"/>
    <col min="8" max="8" width="14.42578125" style="21" customWidth="1"/>
    <col min="9" max="9" width="13.7109375" style="26" customWidth="1"/>
    <col min="10" max="10" width="15" style="97" customWidth="1"/>
    <col min="11" max="11" width="14.5703125" style="97" customWidth="1"/>
    <col min="12" max="12" width="12.140625" style="94" customWidth="1"/>
    <col min="13" max="13" width="16.42578125" style="97" customWidth="1"/>
    <col min="14" max="14" width="14.7109375" style="97" customWidth="1"/>
    <col min="15" max="15" width="14.42578125" style="97" customWidth="1"/>
    <col min="16" max="16" width="11.5703125" style="97" customWidth="1"/>
    <col min="17" max="17" width="44.5703125" style="1" customWidth="1"/>
    <col min="18" max="18" width="6.140625" style="1" bestFit="1" customWidth="1"/>
    <col min="19" max="16384" width="9.140625" style="1"/>
  </cols>
  <sheetData>
    <row r="1" spans="1:18" ht="45" x14ac:dyDescent="0.2">
      <c r="A1" s="16" t="s">
        <v>20</v>
      </c>
      <c r="B1" s="16" t="s">
        <v>47</v>
      </c>
      <c r="C1" s="16" t="s">
        <v>46</v>
      </c>
      <c r="D1" s="96" t="s">
        <v>48</v>
      </c>
      <c r="E1" s="16" t="s">
        <v>9</v>
      </c>
      <c r="F1" s="19" t="s">
        <v>18</v>
      </c>
      <c r="G1" s="19" t="s">
        <v>11</v>
      </c>
      <c r="H1" s="19" t="s">
        <v>10</v>
      </c>
      <c r="I1" s="24" t="s">
        <v>8</v>
      </c>
      <c r="J1" s="22" t="s">
        <v>12</v>
      </c>
      <c r="K1" s="22" t="s">
        <v>15</v>
      </c>
      <c r="L1" s="22" t="s">
        <v>17</v>
      </c>
      <c r="M1" s="19" t="s">
        <v>16</v>
      </c>
      <c r="N1" s="22" t="s">
        <v>13</v>
      </c>
      <c r="O1" s="22" t="s">
        <v>14</v>
      </c>
      <c r="P1" s="19" t="s">
        <v>49</v>
      </c>
      <c r="Q1" s="16" t="s">
        <v>50</v>
      </c>
      <c r="R1" s="25"/>
    </row>
    <row r="2" spans="1:18" x14ac:dyDescent="0.2">
      <c r="A2" s="20"/>
    </row>
    <row r="3" spans="1:18" x14ac:dyDescent="0.2">
      <c r="A3" s="20"/>
    </row>
  </sheetData>
  <phoneticPr fontId="0" type="noConversion"/>
  <pageMargins left="0.73" right="0.02" top="0.03" bottom="0.41" header="0.01" footer="0.35"/>
  <pageSetup scale="40" orientation="landscape" r:id="rId1"/>
  <headerFooter alignWithMargins="0">
    <oddFooter>&amp;L&amp;A&amp;C&amp;P of &amp;N&amp;Rlast printed on &amp;D</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18</vt:i4>
      </vt:variant>
    </vt:vector>
  </HeadingPairs>
  <TitlesOfParts>
    <vt:vector size="29" baseType="lpstr">
      <vt:lpstr>All Open CNs</vt:lpstr>
      <vt:lpstr>2013 PAST DUE</vt:lpstr>
      <vt:lpstr>2014 PAST DUE</vt:lpstr>
      <vt:lpstr>Ready for Audit</vt:lpstr>
      <vt:lpstr>All Rejects</vt:lpstr>
      <vt:lpstr>Completed</vt:lpstr>
      <vt:lpstr>Cancelled</vt:lpstr>
      <vt:lpstr>OVERDUE NAMES</vt:lpstr>
      <vt:lpstr>Metrics</vt:lpstr>
      <vt:lpstr>Revisions</vt:lpstr>
      <vt:lpstr>Template</vt:lpstr>
      <vt:lpstr>'2013 PAST DUE'!Print_Area</vt:lpstr>
      <vt:lpstr>'2014 PAST DUE'!Print_Area</vt:lpstr>
      <vt:lpstr>'All Open CNs'!Print_Area</vt:lpstr>
      <vt:lpstr>'All Rejects'!Print_Area</vt:lpstr>
      <vt:lpstr>Cancelled!Print_Area</vt:lpstr>
      <vt:lpstr>Completed!Print_Area</vt:lpstr>
      <vt:lpstr>'OVERDUE NAMES'!Print_Area</vt:lpstr>
      <vt:lpstr>'Ready for Audit'!Print_Area</vt:lpstr>
      <vt:lpstr>Template!Print_Area</vt:lpstr>
      <vt:lpstr>'2013 PAST DUE'!Print_Titles</vt:lpstr>
      <vt:lpstr>'2014 PAST DUE'!Print_Titles</vt:lpstr>
      <vt:lpstr>'All Open CNs'!Print_Titles</vt:lpstr>
      <vt:lpstr>'All Rejects'!Print_Titles</vt:lpstr>
      <vt:lpstr>Cancelled!Print_Titles</vt:lpstr>
      <vt:lpstr>Completed!Print_Titles</vt:lpstr>
      <vt:lpstr>'OVERDUE NAMES'!Print_Titles</vt:lpstr>
      <vt:lpstr>'Ready for Audit'!Print_Titles</vt:lpstr>
      <vt:lpstr>Template!Print_Titles</vt:lpstr>
    </vt:vector>
  </TitlesOfParts>
  <Company>Delphi Automotive Systems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qzkf9f</dc:creator>
  <cp:lastModifiedBy>Lipscomb, Robert H</cp:lastModifiedBy>
  <cp:lastPrinted>2014-10-24T20:09:33Z</cp:lastPrinted>
  <dcterms:created xsi:type="dcterms:W3CDTF">2004-01-13T18:28:42Z</dcterms:created>
  <dcterms:modified xsi:type="dcterms:W3CDTF">2014-10-31T19:40:31Z</dcterms:modified>
</cp:coreProperties>
</file>